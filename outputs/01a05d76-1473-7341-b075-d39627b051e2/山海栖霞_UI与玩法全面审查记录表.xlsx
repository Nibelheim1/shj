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086f28f5a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看板" sheetId="1" r:id="R740a7dc1c549456b"/>
    <x:sheet xmlns:r="http://schemas.openxmlformats.org/officeDocument/2006/relationships" name="审查清单" sheetId="2" r:id="R002fb0f07e914bfc"/>
    <x:sheet xmlns:r="http://schemas.openxmlformats.org/officeDocument/2006/relationships" name="问题登记" sheetId="3" r:id="R680cdb0910544b1b"/>
    <x:sheet xmlns:r="http://schemas.openxmlformats.org/officeDocument/2006/relationships" name="场景矩阵" sheetId="4" r:id="Rc34eaf46cab348d3"/>
    <x:sheet xmlns:r="http://schemas.openxmlformats.org/officeDocument/2006/relationships" name="可用性测试" sheetId="5" r:id="R274f36ccc3bb4248"/>
    <x:sheet xmlns:r="http://schemas.openxmlformats.org/officeDocument/2006/relationships" name="数值与节奏" sheetId="6" r:id="Ra3d592c1162f423c"/>
    <x:sheet xmlns:r="http://schemas.openxmlformats.org/officeDocument/2006/relationships" name="性能兼容" sheetId="7" r:id="R4109ae5974d34d87"/>
    <x:sheet xmlns:r="http://schemas.openxmlformats.org/officeDocument/2006/relationships" name="口径与下拉" sheetId="8" r:id="Rd8d3911576d0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%"/>
  </x:numFmts>
  <x:fonts count="8">
    <x:font>
      <x:sz val="11"/>
      <x:name val="Carlito"/>
    </x:font>
    <x:font>
      <x:b/>
      <x:sz val="20"/>
      <x:color rgb="FFFFFFFF"/>
      <x:name val="Microsoft YaHei"/>
    </x:font>
    <x:font>
      <x:sz val="10"/>
      <x:color rgb="FF2E2925"/>
      <x:name val="Microsoft YaHei"/>
    </x:font>
    <x:font>
      <x:b/>
      <x:sz val="10"/>
      <x:color rgb="FFFFFFFF"/>
      <x:name val="Microsoft YaHei"/>
    </x:font>
    <x:font>
      <x:sz val="9"/>
      <x:color rgb="FF2E2925"/>
      <x:name val="Microsoft YaHei"/>
    </x:font>
    <x:font>
      <x:b/>
      <x:sz val="10"/>
      <x:color rgb="FF743026"/>
      <x:name val="Microsoft YaHei"/>
    </x:font>
    <x:font>
      <x:b/>
      <x:sz val="24"/>
      <x:color rgb="FF2E2925"/>
      <x:name val="Microsoft YaHei"/>
    </x:font>
    <x:font>
      <x:b/>
      <x:sz val="10"/>
      <x:color rgb="FF2E2925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743026"/>
      </x:patternFill>
    </x:fill>
    <x:fill>
      <x:patternFill patternType="solid">
        <x:fgColor rgb="FFEFE1C6"/>
      </x:patternFill>
    </x:fill>
    <x:fill>
      <x:patternFill patternType="solid">
        <x:fgColor rgb="FFA94737"/>
      </x:patternFill>
    </x:fill>
    <x:fill>
      <x:patternFill patternType="solid">
        <x:fgColor rgb="FFFBF7EF"/>
      </x:patternFill>
    </x:fill>
    <x:fill>
      <x:patternFill patternType="solid">
        <x:fgColor rgb="FFFFF9EB"/>
      </x:patternFill>
    </x:fill>
    <x:fill>
      <x:patternFill patternType="solid">
        <x:fgColor rgb="FFF8F0DF"/>
      </x:patternFill>
    </x:fill>
    <x:fill>
      <x:patternFill patternType="solid">
        <x:fgColor rgb="FFFFFFFF"/>
      </x:patternFill>
    </x:fill>
    <x:fill>
      <x:patternFill patternType="solid">
        <x:fgColor rgb="FFF5E6BA"/>
      </x:patternFill>
    </x:fill>
  </x:fills>
  <x:borders count="15">
    <x:border/>
    <x:border>
      <x:left style="thin">
        <x:color rgb="FFD2BDAA"/>
      </x:left>
      <x:right style="thin">
        <x:color rgb="FFD2BDAA"/>
      </x:right>
      <x:top style="thin">
        <x:color rgb="FFD2BDAA"/>
      </x:top>
      <x:bottom style="thin">
        <x:color rgb="FFD2BDAA"/>
      </x:bottom>
    </x:border>
    <x:border>
      <x:bottom style="thin">
        <x:color rgb="FFE2D7C6"/>
      </x:bottom>
    </x:border>
    <x:border>
      <x:top style="thin">
        <x:color rgb="FFE2D7C6"/>
      </x:top>
      <x:bottom style="thin">
        <x:color rgb="FFE2D7C6"/>
      </x:bottom>
    </x:border>
    <x:border>
      <x:left style="thin">
        <x:color rgb="FFC5A25D"/>
      </x:left>
      <x:top style="thin">
        <x:color rgb="FFC5A25D"/>
      </x:top>
    </x:border>
    <x:border>
      <x:top style="thin">
        <x:color rgb="FFC5A25D"/>
      </x:top>
    </x:border>
    <x:border>
      <x:right style="thin">
        <x:color rgb="FFC5A25D"/>
      </x:right>
      <x:top style="thin">
        <x:color rgb="FFC5A25D"/>
      </x:top>
    </x:border>
    <x:border>
      <x:left style="thin">
        <x:color rgb="FFC5A25D"/>
      </x:left>
      <x:bottom style="thin">
        <x:color rgb="FFC5A25D"/>
      </x:bottom>
    </x:border>
    <x:border>
      <x:bottom style="thin">
        <x:color rgb="FFC5A25D"/>
      </x:bottom>
    </x:border>
    <x:border>
      <x:right style="thin">
        <x:color rgb="FFC5A25D"/>
      </x:right>
      <x:bottom style="thin">
        <x:color rgb="FFC5A25D"/>
      </x:bottom>
    </x:border>
    <x:border>
      <x:left style="thin">
        <x:color rgb="FFC5A25D"/>
      </x:left>
      <x:top style="thin">
        <x:color rgb="FFC5A25D"/>
      </x:top>
      <x:bottom style="thin">
        <x:color rgb="FFC5A25D"/>
      </x:bottom>
    </x:border>
    <x:border>
      <x:top style="thin">
        <x:color rgb="FFC5A25D"/>
      </x:top>
      <x:bottom style="thin">
        <x:color rgb="FFC5A25D"/>
      </x:bottom>
    </x:border>
    <x:border>
      <x:right style="thin">
        <x:color rgb="FFC5A25D"/>
      </x:right>
      <x:top style="thin">
        <x:color rgb="FFC5A25D"/>
      </x:top>
      <x:bottom style="thin">
        <x:color rgb="FFC5A25D"/>
      </x:bottom>
    </x:border>
    <x:border>
      <x:left style="thin">
        <x:color rgb="FFC5A25D"/>
      </x:left>
    </x:border>
    <x:border>
      <x:right style="thin">
        <x:color rgb="FFC5A25D"/>
      </x:right>
    </x:border>
  </x:borders>
  <x:cellStyleXfs count="1">
    <x:xf numFmtId="0" fontId="0" fillId="0" borderId="0"/>
  </x:cellStyleXfs>
  <x:cellXfs count="1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4" fillId="6" borderId="2" xfId="0" applyNumberFormat="1" applyFont="1" applyFill="1" applyBorder="1" applyAlignment="1">
      <x:alignment horizontal="center" vertical="top" wrapText="1"/>
    </x:xf>
    <x:xf numFmtId="0" fontId="4" fillId="6" borderId="3" xfId="0" applyNumberFormat="1" applyFont="1" applyFill="1" applyBorder="1" applyAlignment="1">
      <x:alignment horizontal="center"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right" vertical="top" wrapText="1"/>
    </x:xf>
    <x:xf numFmtId="0" fontId="4" fillId="0" borderId="3" xfId="0" applyNumberFormat="1" applyFont="1" applyFill="1" applyBorder="1" applyAlignment="1">
      <x:alignment horizontal="right" vertical="top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4" xfId="0" applyNumberFormat="1" applyFont="1" applyFill="1" applyBorder="1"/>
    <x:xf numFmtId="0" fontId="2" fillId="7" borderId="5" xfId="0" applyNumberFormat="1" applyFont="1" applyFill="1" applyBorder="1"/>
    <x:xf numFmtId="0" fontId="2" fillId="7" borderId="6" xfId="0" applyNumberFormat="1" applyFont="1" applyFill="1" applyBorder="1"/>
    <x:xf numFmtId="0" fontId="2" fillId="7" borderId="7" xfId="0" applyNumberFormat="1" applyFont="1" applyFill="1" applyBorder="1"/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4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6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5" xfId="0" applyNumberFormat="1" applyFont="1" applyFill="1" applyBorder="1" applyAlignment="1">
      <x:alignment vertical="center" wrapText="1"/>
    </x:xf>
    <x:xf numFmtId="0" fontId="2" fillId="7" borderId="6" xfId="0" applyNumberFormat="1" applyFont="1" applyFill="1" applyBorder="1" applyAlignment="1">
      <x:alignment vertical="center" wrapText="1"/>
    </x:xf>
    <x:xf numFmtId="0" fontId="2" fillId="7" borderId="7" xfId="0" applyNumberFormat="1" applyFont="1" applyFill="1" applyBorder="1" applyAlignment="1">
      <x:alignment vertical="center" wrapText="1"/>
    </x:xf>
    <x:xf numFmtId="0" fontId="2" fillId="7" borderId="8" xfId="0" applyNumberFormat="1" applyFont="1" applyFill="1" applyBorder="1" applyAlignment="1">
      <x:alignment vertical="center" wrapText="1"/>
    </x:xf>
    <x:xf numFmtId="0" fontId="2" fillId="7" borderId="9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0" xfId="0" applyNumberFormat="1" applyFont="1" applyFill="1" applyBorder="1" applyAlignment="1">
      <x:alignment horizontal="center"/>
    </x:xf>
    <x:xf numFmtId="0" fontId="5" fillId="3" borderId="11" xfId="0" applyNumberFormat="1" applyFont="1" applyFill="1" applyBorder="1" applyAlignment="1">
      <x:alignment horizontal="center"/>
    </x:xf>
    <x:xf numFmtId="0" fontId="5" fillId="3" borderId="12" xfId="0" applyNumberFormat="1" applyFont="1" applyFill="1" applyBorder="1" applyAlignment="1">
      <x:alignment horizontal="center"/>
    </x:xf>
    <x:xf numFmtId="0" fontId="5" fillId="3" borderId="10" xfId="0" applyNumberFormat="1" applyFont="1" applyFill="1" applyBorder="1" applyAlignment="1">
      <x:alignment horizontal="center" vertical="center"/>
    </x:xf>
    <x:xf numFmtId="0" fontId="5" fillId="3" borderId="11" xfId="0" applyNumberFormat="1" applyFont="1" applyFill="1" applyBorder="1" applyAlignment="1">
      <x:alignment horizontal="center" vertical="center"/>
    </x:xf>
    <x:xf numFmtId="0" fontId="5" fillId="3" borderId="1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4" xfId="0" applyNumberFormat="1" applyFont="1" applyFill="1" applyBorder="1"/>
    <x:xf numFmtId="0" fontId="6" fillId="8" borderId="5" xfId="0" applyNumberFormat="1" applyFont="1" applyFill="1" applyBorder="1"/>
    <x:xf numFmtId="0" fontId="6" fillId="8" borderId="6" xfId="0" applyNumberFormat="1" applyFont="1" applyFill="1" applyBorder="1"/>
    <x:xf numFmtId="0" fontId="6" fillId="8" borderId="13" xfId="0" applyNumberFormat="1" applyFont="1" applyFill="1" applyBorder="1"/>
    <x:xf numFmtId="0" fontId="6" fillId="8" borderId="14" xfId="0" applyNumberFormat="1" applyFont="1" applyFill="1" applyBorder="1"/>
    <x:xf numFmtId="0" fontId="6" fillId="8" borderId="7" xfId="0" applyNumberFormat="1" applyFont="1" applyFill="1" applyBorder="1"/>
    <x:xf numFmtId="0" fontId="6" fillId="8" borderId="8" xfId="0" applyNumberFormat="1" applyFont="1" applyFill="1" applyBorder="1"/>
    <x:xf numFmtId="0" fontId="6" fillId="8" borderId="9" xfId="0" applyNumberFormat="1" applyFont="1" applyFill="1" applyBorder="1"/>
    <x:xf numFmtId="201" fontId="6" fillId="8" borderId="4" xfId="0" applyNumberFormat="1" applyFont="1" applyFill="1" applyBorder="1"/>
    <x:xf numFmtId="201" fontId="6" fillId="8" borderId="5" xfId="0" applyNumberFormat="1" applyFont="1" applyFill="1" applyBorder="1"/>
    <x:xf numFmtId="201" fontId="6" fillId="8" borderId="6" xfId="0" applyNumberFormat="1" applyFont="1" applyFill="1" applyBorder="1"/>
    <x:xf numFmtId="201" fontId="6" fillId="8" borderId="13" xfId="0" applyNumberFormat="1" applyFont="1" applyFill="1" applyBorder="1"/>
    <x:xf numFmtId="201" fontId="6" fillId="8" borderId="0" xfId="0" applyNumberFormat="1" applyFont="1" applyFill="1" applyBorder="1"/>
    <x:xf numFmtId="201" fontId="6" fillId="8" borderId="14" xfId="0" applyNumberFormat="1" applyFont="1" applyFill="1" applyBorder="1"/>
    <x:xf numFmtId="201" fontId="6" fillId="8" borderId="7" xfId="0" applyNumberFormat="1" applyFont="1" applyFill="1" applyBorder="1"/>
    <x:xf numFmtId="201" fontId="6" fillId="8" borderId="8" xfId="0" applyNumberFormat="1" applyFont="1" applyFill="1" applyBorder="1"/>
    <x:xf numFmtId="201" fontId="6" fillId="8" borderId="9" xfId="0" applyNumberFormat="1" applyFont="1" applyFill="1" applyBorder="1"/>
    <x:xf numFmtId="201" fontId="6" fillId="8" borderId="4" xfId="0" applyNumberFormat="1" applyFont="1" applyFill="1" applyBorder="1" applyAlignment="1">
      <x:alignment horizontal="center"/>
    </x:xf>
    <x:xf numFmtId="201" fontId="6" fillId="8" borderId="5" xfId="0" applyNumberFormat="1" applyFont="1" applyFill="1" applyBorder="1" applyAlignment="1">
      <x:alignment horizontal="center"/>
    </x:xf>
    <x:xf numFmtId="201" fontId="6" fillId="8" borderId="6" xfId="0" applyNumberFormat="1" applyFont="1" applyFill="1" applyBorder="1" applyAlignment="1">
      <x:alignment horizontal="center"/>
    </x:xf>
    <x:xf numFmtId="201" fontId="6" fillId="8" borderId="13" xfId="0" applyNumberFormat="1" applyFont="1" applyFill="1" applyBorder="1" applyAlignment="1">
      <x:alignment horizontal="center"/>
    </x:xf>
    <x:xf numFmtId="201" fontId="6" fillId="8" borderId="0" xfId="0" applyNumberFormat="1" applyFont="1" applyFill="1" applyBorder="1" applyAlignment="1">
      <x:alignment horizontal="center"/>
    </x:xf>
    <x:xf numFmtId="201" fontId="6" fillId="8" borderId="14" xfId="0" applyNumberFormat="1" applyFont="1" applyFill="1" applyBorder="1" applyAlignment="1">
      <x:alignment horizontal="center"/>
    </x:xf>
    <x:xf numFmtId="201" fontId="6" fillId="8" borderId="7" xfId="0" applyNumberFormat="1" applyFont="1" applyFill="1" applyBorder="1" applyAlignment="1">
      <x:alignment horizontal="center"/>
    </x:xf>
    <x:xf numFmtId="201" fontId="6" fillId="8" borderId="8" xfId="0" applyNumberFormat="1" applyFont="1" applyFill="1" applyBorder="1" applyAlignment="1">
      <x:alignment horizontal="center"/>
    </x:xf>
    <x:xf numFmtId="201" fontId="6" fillId="8" borderId="9" xfId="0" applyNumberFormat="1" applyFont="1" applyFill="1" applyBorder="1" applyAlignment="1">
      <x:alignment horizontal="center"/>
    </x:xf>
    <x:xf numFmtId="201" fontId="6" fillId="8" borderId="4" xfId="0" applyNumberFormat="1" applyFont="1" applyFill="1" applyBorder="1" applyAlignment="1">
      <x:alignment horizontal="center" vertical="center"/>
    </x:xf>
    <x:xf numFmtId="201" fontId="6" fillId="8" borderId="5" xfId="0" applyNumberFormat="1" applyFont="1" applyFill="1" applyBorder="1" applyAlignment="1">
      <x:alignment horizontal="center" vertical="center"/>
    </x:xf>
    <x:xf numFmtId="201" fontId="6" fillId="8" borderId="6" xfId="0" applyNumberFormat="1" applyFont="1" applyFill="1" applyBorder="1" applyAlignment="1">
      <x:alignment horizontal="center" vertical="center"/>
    </x:xf>
    <x:xf numFmtId="201" fontId="6" fillId="8" borderId="13" xfId="0" applyNumberFormat="1" applyFont="1" applyFill="1" applyBorder="1" applyAlignment="1">
      <x:alignment horizontal="center" vertical="center"/>
    </x:xf>
    <x:xf numFmtId="201" fontId="6" fillId="8" borderId="0" xfId="0" applyNumberFormat="1" applyFont="1" applyFill="1" applyBorder="1" applyAlignment="1">
      <x:alignment horizontal="center" vertical="center"/>
    </x:xf>
    <x:xf numFmtId="201" fontId="6" fillId="8" borderId="14" xfId="0" applyNumberFormat="1" applyFont="1" applyFill="1" applyBorder="1" applyAlignment="1">
      <x:alignment horizontal="center" vertical="center"/>
    </x:xf>
    <x:xf numFmtId="201" fontId="6" fillId="8" borderId="7" xfId="0" applyNumberFormat="1" applyFont="1" applyFill="1" applyBorder="1" applyAlignment="1">
      <x:alignment horizontal="center" vertical="center"/>
    </x:xf>
    <x:xf numFmtId="201" fontId="6" fillId="8" borderId="8" xfId="0" applyNumberFormat="1" applyFont="1" applyFill="1" applyBorder="1" applyAlignment="1">
      <x:alignment horizontal="center" vertical="center"/>
    </x:xf>
    <x:xf numFmtId="201" fontId="6" fillId="8" borderId="9" xfId="0" applyNumberFormat="1" applyFont="1" applyFill="1" applyBorder="1" applyAlignment="1">
      <x:alignment horizontal="center" vertical="center"/>
    </x:xf>
    <x:xf numFmtId="202" fontId="6" fillId="8" borderId="4" xfId="0" applyNumberFormat="1" applyFont="1" applyFill="1" applyBorder="1"/>
    <x:xf numFmtId="202" fontId="6" fillId="8" borderId="5" xfId="0" applyNumberFormat="1" applyFont="1" applyFill="1" applyBorder="1"/>
    <x:xf numFmtId="202" fontId="6" fillId="8" borderId="6" xfId="0" applyNumberFormat="1" applyFont="1" applyFill="1" applyBorder="1"/>
    <x:xf numFmtId="202" fontId="6" fillId="8" borderId="13" xfId="0" applyNumberFormat="1" applyFont="1" applyFill="1" applyBorder="1"/>
    <x:xf numFmtId="202" fontId="6" fillId="8" borderId="0" xfId="0" applyNumberFormat="1" applyFont="1" applyFill="1" applyBorder="1"/>
    <x:xf numFmtId="202" fontId="6" fillId="8" borderId="14" xfId="0" applyNumberFormat="1" applyFont="1" applyFill="1" applyBorder="1"/>
    <x:xf numFmtId="202" fontId="6" fillId="8" borderId="7" xfId="0" applyNumberFormat="1" applyFont="1" applyFill="1" applyBorder="1"/>
    <x:xf numFmtId="202" fontId="6" fillId="8" borderId="8" xfId="0" applyNumberFormat="1" applyFont="1" applyFill="1" applyBorder="1"/>
    <x:xf numFmtId="202" fontId="6" fillId="8" borderId="9" xfId="0" applyNumberFormat="1" applyFont="1" applyFill="1" applyBorder="1"/>
    <x:xf numFmtId="202" fontId="6" fillId="8" borderId="4" xfId="0" applyNumberFormat="1" applyFont="1" applyFill="1" applyBorder="1" applyAlignment="1">
      <x:alignment horizontal="center"/>
    </x:xf>
    <x:xf numFmtId="202" fontId="6" fillId="8" borderId="5" xfId="0" applyNumberFormat="1" applyFont="1" applyFill="1" applyBorder="1" applyAlignment="1">
      <x:alignment horizontal="center"/>
    </x:xf>
    <x:xf numFmtId="202" fontId="6" fillId="8" borderId="6" xfId="0" applyNumberFormat="1" applyFont="1" applyFill="1" applyBorder="1" applyAlignment="1">
      <x:alignment horizontal="center"/>
    </x:xf>
    <x:xf numFmtId="202" fontId="6" fillId="8" borderId="13" xfId="0" applyNumberFormat="1" applyFont="1" applyFill="1" applyBorder="1" applyAlignment="1">
      <x:alignment horizontal="center"/>
    </x:xf>
    <x:xf numFmtId="202" fontId="6" fillId="8" borderId="0" xfId="0" applyNumberFormat="1" applyFont="1" applyFill="1" applyBorder="1" applyAlignment="1">
      <x:alignment horizontal="center"/>
    </x:xf>
    <x:xf numFmtId="202" fontId="6" fillId="8" borderId="14" xfId="0" applyNumberFormat="1" applyFont="1" applyFill="1" applyBorder="1" applyAlignment="1">
      <x:alignment horizontal="center"/>
    </x:xf>
    <x:xf numFmtId="202" fontId="6" fillId="8" borderId="7" xfId="0" applyNumberFormat="1" applyFont="1" applyFill="1" applyBorder="1" applyAlignment="1">
      <x:alignment horizontal="center"/>
    </x:xf>
    <x:xf numFmtId="202" fontId="6" fillId="8" borderId="8" xfId="0" applyNumberFormat="1" applyFont="1" applyFill="1" applyBorder="1" applyAlignment="1">
      <x:alignment horizontal="center"/>
    </x:xf>
    <x:xf numFmtId="202" fontId="6" fillId="8" borderId="9" xfId="0" applyNumberFormat="1" applyFont="1" applyFill="1" applyBorder="1" applyAlignment="1">
      <x:alignment horizontal="center"/>
    </x:xf>
    <x:xf numFmtId="202" fontId="6" fillId="8" borderId="4" xfId="0" applyNumberFormat="1" applyFont="1" applyFill="1" applyBorder="1" applyAlignment="1">
      <x:alignment horizontal="center" vertical="center"/>
    </x:xf>
    <x:xf numFmtId="202" fontId="6" fillId="8" borderId="5" xfId="0" applyNumberFormat="1" applyFont="1" applyFill="1" applyBorder="1" applyAlignment="1">
      <x:alignment horizontal="center" vertical="center"/>
    </x:xf>
    <x:xf numFmtId="202" fontId="6" fillId="8" borderId="6" xfId="0" applyNumberFormat="1" applyFont="1" applyFill="1" applyBorder="1" applyAlignment="1">
      <x:alignment horizontal="center" vertical="center"/>
    </x:xf>
    <x:xf numFmtId="202" fontId="6" fillId="8" borderId="13" xfId="0" applyNumberFormat="1" applyFont="1" applyFill="1" applyBorder="1" applyAlignment="1">
      <x:alignment horizontal="center" vertical="center"/>
    </x:xf>
    <x:xf numFmtId="202" fontId="6" fillId="8" borderId="0" xfId="0" applyNumberFormat="1" applyFont="1" applyFill="1" applyBorder="1" applyAlignment="1">
      <x:alignment horizontal="center" vertical="center"/>
    </x:xf>
    <x:xf numFmtId="202" fontId="6" fillId="8" borderId="14" xfId="0" applyNumberFormat="1" applyFont="1" applyFill="1" applyBorder="1" applyAlignment="1">
      <x:alignment horizontal="center" vertical="center"/>
    </x:xf>
    <x:xf numFmtId="202" fontId="6" fillId="8" borderId="7" xfId="0" applyNumberFormat="1" applyFont="1" applyFill="1" applyBorder="1" applyAlignment="1">
      <x:alignment horizontal="center" vertical="center"/>
    </x:xf>
    <x:xf numFmtId="202" fontId="6" fillId="8" borderId="8" xfId="0" applyNumberFormat="1" applyFont="1" applyFill="1" applyBorder="1" applyAlignment="1">
      <x:alignment horizontal="center" vertical="center"/>
    </x:xf>
    <x:xf numFmtId="202" fontId="6" fillId="8" borderId="9" xfId="0" applyNumberFormat="1" applyFont="1" applyFill="1" applyBorder="1" applyAlignment="1">
      <x:alignment horizontal="center" vertical="center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0" xfId="0" applyNumberFormat="1" applyFont="1" applyFill="1" applyBorder="1"/>
    <x:xf numFmtId="0" fontId="7" fillId="9" borderId="11" xfId="0" applyNumberFormat="1" applyFont="1" applyFill="1" applyBorder="1"/>
    <x:xf numFmtId="0" fontId="7" fillId="9" borderId="12" xfId="0" applyNumberFormat="1" applyFont="1" applyFill="1" applyBorder="1"/>
    <x:xf numFmtId="0" fontId="7" fillId="9" borderId="10" xfId="0" applyNumberFormat="1" applyFont="1" applyFill="1" applyBorder="1" applyAlignment="1">
      <x:alignment wrapText="1"/>
    </x:xf>
    <x:xf numFmtId="0" fontId="7" fillId="9" borderId="11" xfId="0" applyNumberFormat="1" applyFont="1" applyFill="1" applyBorder="1" applyAlignment="1">
      <x:alignment wrapText="1"/>
    </x:xf>
    <x:xf numFmtId="0" fontId="7" fillId="9" borderId="12" xfId="0" applyNumberFormat="1" applyFont="1" applyFill="1" applyBorder="1" applyAlignment="1">
      <x:alignment wrapText="1"/>
    </x:xf>
    <x:xf numFmtId="0" fontId="7" fillId="9" borderId="10" xfId="0" applyNumberFormat="1" applyFont="1" applyFill="1" applyBorder="1" applyAlignment="1">
      <x:alignment vertical="center" wrapText="1"/>
    </x:xf>
    <x:xf numFmtId="0" fontId="7" fillId="9" borderId="11" xfId="0" applyNumberFormat="1" applyFont="1" applyFill="1" applyBorder="1" applyAlignment="1">
      <x:alignment vertical="center" wrapText="1"/>
    </x:xf>
    <x:xf numFmtId="0" fontId="7" fillId="9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5">
    <x:dxf>
      <x:font>
        <x:b/>
        <x:color rgb="FF31513A"/>
      </x:font>
      <x:fill>
        <x:patternFill patternType="solid">
          <x:bgColor rgb="FFDCE9DE"/>
        </x:patternFill>
      </x:fill>
    </x:dxf>
    <x:dxf>
      <x:font>
        <x:b/>
        <x:color rgb="FF7A2E23"/>
      </x:font>
      <x:fill>
        <x:patternFill patternType="solid">
          <x:bgColor rgb="FFF4D8D2"/>
        </x:patternFill>
      </x:fill>
    </x:dxf>
    <x:dxf>
      <x:font>
        <x:b/>
        <x:color rgb="FF2E2925"/>
      </x:font>
      <x:fill>
        <x:patternFill patternType="solid">
          <x:bgColor rgb="FFF5E6BA"/>
        </x:patternFill>
      </x:fill>
    </x:dxf>
    <x:dxf>
      <x:font>
        <x:b/>
        <x:color rgb="FF2E2925"/>
      </x:font>
      <x:fill>
        <x:patternFill patternType="solid">
          <x:bgColor rgb="FFE9E5DE"/>
        </x:patternFill>
      </x:fill>
    </x:dxf>
    <x:dxf>
      <x:font>
        <x:b/>
        <x:color rgb="FF2E2925"/>
      </x:font>
      <x:fill>
        <x:patternFill patternType="solid">
          <x:bgColor rgb="FFDCE8F2"/>
        </x:patternFill>
      </x:fill>
    </x:dxf>
    <x:dxf>
      <x:font>
        <x:b/>
        <x:color rgb="FFFFFFFF"/>
      </x:font>
      <x:fill>
        <x:patternFill patternType="solid">
          <x:bgColor rgb="FFB3261E"/>
        </x:patternFill>
      </x:fill>
    </x:dxf>
    <x:dxf>
      <x:font>
        <x:b/>
        <x:color rgb="FFFFFFFF"/>
      </x:font>
      <x:fill>
        <x:patternFill patternType="solid">
          <x:bgColor rgb="FFE67E22"/>
        </x:patternFill>
      </x:fill>
    </x:dxf>
    <x:dxf>
      <x:font>
        <x:b/>
        <x:color rgb="FF2E2925"/>
      </x:font>
      <x:fill>
        <x:patternFill patternType="solid">
          <x:bgColor rgb="FFF3D36A"/>
        </x:patternFill>
      </x:fill>
    </x:dxf>
    <x:dxf>
      <x:font>
        <x:b/>
        <x:color rgb="FF2E2925"/>
      </x:font>
      <x:fill>
        <x:patternFill patternType="solid">
          <x:bgColor rgb="FFDCE9DE"/>
        </x:patternFill>
      </x:fill>
    </x:dxf>
    <x:dxf>
      <x:font>
        <x:b/>
        <x:color rgb="FFFFFFFF"/>
      </x:font>
      <x:fill>
        <x:patternFill patternType="solid">
          <x:bgColor rgb="FFB3261E"/>
        </x:patternFill>
      </x:fill>
    </x:dxf>
    <x:dxf>
      <x:font>
        <x:b/>
        <x:color rgb="FFFFFFFF"/>
      </x:font>
      <x:fill>
        <x:patternFill patternType="solid">
          <x:bgColor rgb="FFE67E22"/>
        </x:patternFill>
      </x:fill>
    </x:dxf>
    <x:dxf>
      <x:font>
        <x:b/>
        <x:color rgb="FF2E2925"/>
      </x:font>
      <x:fill>
        <x:patternFill patternType="solid">
          <x:bgColor rgb="FFF3D36A"/>
        </x:patternFill>
      </x:fill>
    </x:dxf>
    <x:dxf>
      <x:font>
        <x:b/>
        <x:color rgb="FF2E2925"/>
      </x:font>
      <x:fill>
        <x:patternFill patternType="solid">
          <x:bgColor rgb="FFDCE9DE"/>
        </x:patternFill>
      </x:fill>
    </x:dxf>
    <x:dxf>
      <x:font>
        <x:b/>
        <x:color rgb="FF31513A"/>
      </x:font>
      <x:fill>
        <x:patternFill patternType="solid">
          <x:bgColor rgb="FFDCE9DE"/>
        </x:patternFill>
      </x:fill>
    </x:dxf>
    <x:dxf>
      <x:font>
        <x:b/>
        <x:color rgb="FF2E2925"/>
      </x:font>
      <x:fill>
        <x:patternFill patternType="solid">
          <x:bgColor rgb="FFDCE8F2"/>
        </x:patternFill>
      </x:fill>
    </x:dxf>
    <x:dxf>
      <x:font>
        <x:b/>
        <x:color rgb="FF2E2925"/>
      </x:font>
      <x:fill>
        <x:patternFill patternType="solid">
          <x:bgColor rgb="FFF5E6BA"/>
        </x:patternFill>
      </x:fill>
    </x:dxf>
    <x:dxf>
      <x:font>
        <x:b/>
        <x:color rgb="FF2E2925"/>
      </x:font>
      <x:fill>
        <x:patternFill patternType="solid">
          <x:bgColor rgb="FFE9E5DE"/>
        </x:patternFill>
      </x:fill>
    </x:dxf>
    <x:dxf>
      <x:font>
        <x:b/>
        <x:color rgb="FF7A2E23"/>
      </x:font>
      <x:fill>
        <x:patternFill patternType="solid">
          <x:bgColor rgb="FFF4D8D2"/>
        </x:patternFill>
      </x:fill>
    </x:dxf>
    <x:dxf>
      <x:font>
        <x:b/>
        <x:color rgb="FF31513A"/>
      </x:font>
      <x:fill>
        <x:patternFill patternType="solid">
          <x:bgColor rgb="FFDCE9DE"/>
        </x:patternFill>
      </x:fill>
    </x:dxf>
    <x:dxf>
      <x:font>
        <x:b/>
        <x:color rgb="FF7A2E23"/>
      </x:font>
      <x:fill>
        <x:patternFill patternType="solid">
          <x:bgColor rgb="FFF4D8D2"/>
        </x:patternFill>
      </x:fill>
    </x:dxf>
    <x:dxf>
      <x:font>
        <x:b/>
        <x:color rgb="FF2E2925"/>
      </x:font>
      <x:fill>
        <x:patternFill patternType="solid">
          <x:bgColor rgb="FFF5E6BA"/>
        </x:patternFill>
      </x:fill>
    </x:dxf>
    <x:dxf>
      <x:font>
        <x:b/>
        <x:color rgb="FF2E2925"/>
      </x:font>
      <x:fill>
        <x:patternFill patternType="solid">
          <x:bgColor rgb="FFDCE8F2"/>
        </x:patternFill>
      </x:fill>
    </x:dxf>
    <x:dxf>
      <x:font>
        <x:b/>
        <x:color rgb="FF2E2925"/>
      </x:font>
      <x:fill>
        <x:patternFill patternType="solid">
          <x:bgColor rgb="FFE9E5DE"/>
        </x:patternFill>
      </x:fill>
    </x:dxf>
    <x:dxf>
      <x:font>
        <x:b/>
        <x:color rgb="FF2E2925"/>
      </x:font>
      <x:fill>
        <x:patternFill patternType="solid">
          <x:bgColor rgb="FFDCE9DE"/>
        </x:patternFill>
      </x:fill>
    </x:dxf>
    <x:dxf>
      <x:font>
        <x:b/>
        <x:color rgb="FF2E2925"/>
      </x:font>
      <x:fill>
        <x:patternFill patternType="solid">
          <x:bgColor rgb="FFF5E6BA"/>
        </x:patternFill>
      </x:fill>
    </x:dxf>
    <x:dxf>
      <x:font>
        <x:b/>
        <x:color rgb="FF2E2925"/>
      </x:font>
      <x:fill>
        <x:patternFill patternType="solid">
          <x:bgColor rgb="FFF4D8D2"/>
        </x:patternFill>
      </x:fill>
    </x:dxf>
    <x:dxf>
      <x:font>
        <x:b/>
        <x:color rgb="FF2E2925"/>
      </x:font>
      <x:fill>
        <x:patternFill patternType="solid">
          <x:bgColor rgb="FFDCE9DE"/>
        </x:patternFill>
      </x:fill>
    </x:dxf>
    <x:dxf>
      <x:font>
        <x:b/>
        <x:color rgb="FF2E2925"/>
      </x:font>
      <x:fill>
        <x:patternFill patternType="solid">
          <x:bgColor rgb="FFF5E6BA"/>
        </x:patternFill>
      </x:fill>
    </x:dxf>
    <x:dxf>
      <x:font>
        <x:b/>
        <x:color rgb="FF2E2925"/>
      </x:font>
      <x:fill>
        <x:patternFill patternType="solid">
          <x:bgColor rgb="FFF4D8D2"/>
        </x:patternFill>
      </x:fill>
    </x:dxf>
    <x:dxf>
      <x:font>
        <x:b/>
        <x:color rgb="FF2E2925"/>
      </x:font>
      <x:fill>
        <x:patternFill patternType="solid">
          <x:bgColor rgb="FFDCE8F2"/>
        </x:patternFill>
      </x:fill>
    </x:dxf>
    <x:dxf>
      <x:font>
        <x:b/>
        <x:color rgb="FF2E2925"/>
      </x:font>
      <x:fill>
        <x:patternFill patternType="solid">
          <x:bgColor rgb="FFDCE9DE"/>
        </x:patternFill>
      </x:fill>
    </x:dxf>
    <x:dxf>
      <x:font>
        <x:b/>
        <x:color rgb="FF2E2925"/>
      </x:font>
      <x:fill>
        <x:patternFill patternType="solid">
          <x:bgColor rgb="FFF4D8D2"/>
        </x:patternFill>
      </x:fill>
    </x:dxf>
    <x:dxf>
      <x:font>
        <x:b/>
        <x:color rgb="FF2E2925"/>
      </x:font>
      <x:fill>
        <x:patternFill patternType="solid">
          <x:bgColor rgb="FFF5E6BA"/>
        </x:patternFill>
      </x:fill>
    </x:dxf>
    <x:dxf>
      <x:font>
        <x:b/>
        <x:color rgb="FF2E2925"/>
      </x:font>
      <x:fill>
        <x:patternFill patternType="solid">
          <x:bgColor rgb="FFDCE8F2"/>
        </x:patternFill>
      </x:fill>
    </x:dxf>
    <x:dxf>
      <x:font>
        <x:b/>
        <x:color rgb="FF2E2925"/>
      </x:font>
      <x:fill>
        <x:patternFill patternType="solid">
          <x:bgColor rgb="FFE9E5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090a61f8644db" /><Relationship Type="http://schemas.openxmlformats.org/officeDocument/2006/relationships/theme" Target="/xl/theme/theme1.xml" Id="Re50fbebda86d4a67" /><Relationship Type="http://schemas.openxmlformats.org/officeDocument/2006/relationships/sharedStrings" Target="/xl/sharedStrings.xml" Id="Rc9870060357f4ba4" /><Relationship Type="http://schemas.openxmlformats.org/officeDocument/2006/relationships/worksheet" Target="/xl/worksheets/sheet1.xml" Id="R740a7dc1c549456b" /><Relationship Type="http://schemas.openxmlformats.org/officeDocument/2006/relationships/worksheet" Target="/xl/worksheets/sheet2.xml" Id="R002fb0f07e914bfc" /><Relationship Type="http://schemas.openxmlformats.org/officeDocument/2006/relationships/worksheet" Target="/xl/worksheets/sheet3.xml" Id="R680cdb0910544b1b" /><Relationship Type="http://schemas.openxmlformats.org/officeDocument/2006/relationships/worksheet" Target="/xl/worksheets/sheet4.xml" Id="Rc34eaf46cab348d3" /><Relationship Type="http://schemas.openxmlformats.org/officeDocument/2006/relationships/worksheet" Target="/xl/worksheets/sheet5.xml" Id="R274f36ccc3bb4248" /><Relationship Type="http://schemas.openxmlformats.org/officeDocument/2006/relationships/worksheet" Target="/xl/worksheets/sheet6.xml" Id="Ra3d592c1162f423c" /><Relationship Type="http://schemas.openxmlformats.org/officeDocument/2006/relationships/worksheet" Target="/xl/worksheets/sheet7.xml" Id="R4109ae5974d34d87" /><Relationship Type="http://schemas.openxmlformats.org/officeDocument/2006/relationships/worksheet" Target="/xl/worksheets/sheet8.xml" Id="Rd8d3911576d049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e4a32ff65a4e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各维度审查项数量（编号见左表）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检查项</c:v>
          </c:tx>
          <c:cat>
            <c:strRef>
              <c:f>'总览看板'!$T$16:$T$39</c:f>
              <c:strCache>
                <c:ptCount val="0"/>
              </c:strCache>
            </c:strRef>
          </c:cat>
          <c:val>
            <c:numRef>
              <c:f>'总览看板'!$U$16:$U$39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14</xdr:row>
      <xdr:rowOff>0</xdr:rowOff>
    </xdr:from>
    <xdr:to>
      <xdr:col>18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e4a32ff65a4e9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uditChecklistTable" displayName="AuditChecklistTable" ref="A4:Y324" headerRowCount="1" totalsRowCount="0" totalsRowShown="0">
  <x:tableColumns count="25">
    <x:tableColumn id="1" name="检查ID"/>
    <x:tableColumn id="2" name="一级维度"/>
    <x:tableColumn id="3" name="二级维度"/>
    <x:tableColumn id="4" name="场景/系统"/>
    <x:tableColumn id="5" name="具体检查项"/>
    <x:tableColumn id="6" name="通过标准"/>
    <x:tableColumn id="7" name="测试方法"/>
    <x:tableColumn id="8" name="体验影响面"/>
    <x:tableColumn id="9" name="用户阶段"/>
    <x:tableColumn id="10" name="平台/视口"/>
    <x:tableColumn id="11" name="证据/截图"/>
    <x:tableColumn id="12" name="审查状态"/>
    <x:tableColumn id="13" name="严重度"/>
    <x:tableColumn id="14" name="发生频率"/>
    <x:tableColumn id="15" name="体验影响(1-5)"/>
    <x:tableColumn id="16" name="风险分"/>
    <x:tableColumn id="17" name="修复成本"/>
    <x:tableColumn id="18" name="整改优先级"/>
    <x:tableColumn id="19" name="责任人"/>
    <x:tableColumn id="20" name="修复建议"/>
    <x:tableColumn id="21" name="目标版本"/>
    <x:tableColumn id="22" name="截止日期"/>
    <x:tableColumn id="23" name="复测人"/>
    <x:tableColumn id="24" name="复测结论"/>
    <x:tableColumn id="2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ssueRegisterTable" displayName="IssueRegisterTable" ref="A4:Z104" headerRowCount="1" totalsRowCount="0" totalsRowShown="0">
  <x:tableColumns count="26">
    <x:tableColumn id="1" name="问题ID"/>
    <x:tableColumn id="2" name="发现日期"/>
    <x:tableColumn id="3" name="来源检查ID"/>
    <x:tableColumn id="4" name="问题标题"/>
    <x:tableColumn id="5" name="场景/系统"/>
    <x:tableColumn id="6" name="复现步骤"/>
    <x:tableColumn id="7" name="预期结果"/>
    <x:tableColumn id="8" name="实际结果"/>
    <x:tableColumn id="9" name="证据"/>
    <x:tableColumn id="10" name="严重度"/>
    <x:tableColumn id="11" name="发生频率"/>
    <x:tableColumn id="12" name="体验影响(1-5)"/>
    <x:tableColumn id="13" name="风险分"/>
    <x:tableColumn id="14" name="优先级"/>
    <x:tableColumn id="15" name="影响范围"/>
    <x:tableColumn id="16" name="根因"/>
    <x:tableColumn id="17" name="修复方案"/>
    <x:tableColumn id="18" name="责任人"/>
    <x:tableColumn id="19" name="处理状态"/>
    <x:tableColumn id="20" name="目标版本"/>
    <x:tableColumn id="21" name="截止日期"/>
    <x:tableColumn id="22" name="修复提交/版本"/>
    <x:tableColumn id="23" name="复测人"/>
    <x:tableColumn id="24" name="复测结论"/>
    <x:tableColumn id="25" name="关闭日期"/>
    <x:tableColumn id="26" name="遗留风险/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eMatrixTable" displayName="SceneMatrixTable" ref="A4:O36" headerRowCount="1" totalsRowCount="0" totalsRowShown="0">
  <x:tableColumns count="15">
    <x:tableColumn id="1" name="屏幕ID"/>
    <x:tableColumn id="2" name="页面/弹窗"/>
    <x:tableColumn id="3" name="类型"/>
    <x:tableColumn id="4" name="玩家目标"/>
    <x:tableColumn id="5" name="进入方式"/>
    <x:tableColumn id="6" name="必须测试的交互"/>
    <x:tableColumn id="7" name="关键状态/异常"/>
    <x:tableColumn id="8" name="退出与返回"/>
    <x:tableColumn id="9" name="基线文件"/>
    <x:tableColumn id="10" name="测试路由"/>
    <x:tableColumn id="11" name="必测视口"/>
    <x:tableColumn id="12" name="证据"/>
    <x:tableColumn id="13" name="状态"/>
    <x:tableColumn id="14" name="关联问题ID"/>
    <x:tableColumn id="15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abilitySessionsTable" displayName="UsabilitySessionsTable" ref="A4:T54" headerRowCount="1" totalsRowCount="0" totalsRowShown="0">
  <x:tableColumns count="20">
    <x:tableColumn id="1" name="会话ID"/>
    <x:tableColumn id="2" name="日期"/>
    <x:tableColumn id="3" name="构建/版本"/>
    <x:tableColumn id="4" name="用户类型"/>
    <x:tableColumn id="5" name="游戏经验"/>
    <x:tableColumn id="6" name="设备/浏览器"/>
    <x:tableColumn id="7" name="视口"/>
    <x:tableColumn id="8" name="任务ID"/>
    <x:tableColumn id="9" name="任务描述"/>
    <x:tableColumn id="10" name="完成结果"/>
    <x:tableColumn id="11" name="耗时(秒)"/>
    <x:tableColumn id="12" name="误触数"/>
    <x:tableColumn id="13" name="回退数"/>
    <x:tableColumn id="14" name="是否求助"/>
    <x:tableColumn id="15" name="困惑点"/>
    <x:tableColumn id="16" name="情绪反应"/>
    <x:tableColumn id="17" name="满意度(1-5)"/>
    <x:tableColumn id="18" name="原话/观察"/>
    <x:tableColumn id="19" name="关联问题ID"/>
    <x:tableColumn id="20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lancePacingTable" displayName="BalancePacingTable" ref="A4:Q64" headerRowCount="1" totalsRowCount="0" totalsRowShown="0">
  <x:tableColumns count="17">
    <x:tableColumn id="1" name="测试ID"/>
    <x:tableColumn id="2" name="日期"/>
    <x:tableColumn id="3" name="构建/版本"/>
    <x:tableColumn id="4" name="系统"/>
    <x:tableColumn id="5" name="指标"/>
    <x:tableColumn id="6" name="单位"/>
    <x:tableColumn id="7" name="玩家阶段"/>
    <x:tableColumn id="8" name="目标下限"/>
    <x:tableColumn id="9" name="目标上限"/>
    <x:tableColumn id="10" name="当前配置"/>
    <x:tableColumn id="11" name="实测值"/>
    <x:tableColumn id="12" name="样本量"/>
    <x:tableColumn id="13" name="实测-配置"/>
    <x:tableColumn id="14" name="结论"/>
    <x:tableColumn id="15" name="玩家影响"/>
    <x:tableColumn id="16" name="调整建议"/>
    <x:tableColumn id="17" name="证据/数据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erformanceCompatibilityTable" displayName="PerformanceCompatibilityTable" ref="A4:W49" headerRowCount="1" totalsRowCount="0" totalsRowShown="0">
  <x:tableColumns count="23">
    <x:tableColumn id="1" name="测试ID"/>
    <x:tableColumn id="2" name="日期"/>
    <x:tableColumn id="3" name="构建/版本"/>
    <x:tableColumn id="4" name="设备型号"/>
    <x:tableColumn id="5" name="系统"/>
    <x:tableColumn id="6" name="浏览器/WebView"/>
    <x:tableColumn id="7" name="视口"/>
    <x:tableColumn id="8" name="网络"/>
    <x:tableColumn id="9" name="冷启动可交互(ms)"/>
    <x:tableColumn id="10" name="重返可交互(ms)"/>
    <x:tableColumn id="11" name="平均FPS"/>
    <x:tableColumn id="12" name="最低FPS"/>
    <x:tableColumn id="13" name="输入延迟(ms)"/>
    <x:tableColumn id="14" name="峰值内存(MB)"/>
    <x:tableColumn id="15" name="加载/包体(MB)"/>
    <x:tableColumn id="16" name="控制台错误"/>
    <x:tableColumn id="17" name="HTTP错误"/>
    <x:tableColumn id="18" name="存档读写"/>
    <x:tableColumn id="19" name="音频/视频"/>
    <x:tableColumn id="20" name="旋转/安全区"/>
    <x:tableColumn id="21" name="状态"/>
    <x:tableColumn id="22" name="证据"/>
    <x:tableColumn id="2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08312471d245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a80311a4fa47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7e1ea8017f41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4ef57d31884d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c487c48d1d4e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099550cbf342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11feeba2fa46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4" hidden="0" customWidth="1"/>
    <x:col min="10" max="10" width="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34" customHeight="1">
      <x:c r="A1" s="4" t="str">
        <x:v>山海·栖霞｜UI 与玩法全面审查看板</x:v>
      </x:c>
      <x:c r="B1" s="4" t="str">
        <x:v>山海·栖霞｜UI 与玩法全面审查看板</x:v>
      </x:c>
      <x:c r="C1" s="4" t="str">
        <x:v>山海·栖霞｜UI 与玩法全面审查看板</x:v>
      </x:c>
      <x:c r="D1" s="4" t="str">
        <x:v>山海·栖霞｜UI 与玩法全面审查看板</x:v>
      </x:c>
      <x:c r="E1" s="4" t="str">
        <x:v>山海·栖霞｜UI 与玩法全面审查看板</x:v>
      </x:c>
      <x:c r="F1" s="4" t="str">
        <x:v>山海·栖霞｜UI 与玩法全面审查看板</x:v>
      </x:c>
      <x:c r="G1" s="4" t="str">
        <x:v>山海·栖霞｜UI 与玩法全面审查看板</x:v>
      </x:c>
      <x:c r="H1" s="4" t="str">
        <x:v>山海·栖霞｜UI 与玩法全面审查看板</x:v>
      </x:c>
      <x:c r="I1" s="4" t="str">
        <x:v>山海·栖霞｜UI 与玩法全面审查看板</x:v>
      </x:c>
      <x:c r="J1" s="4" t="str">
        <x:v>山海·栖霞｜UI 与玩法全面审查看板</x:v>
      </x:c>
      <x:c r="K1" s="4" t="str">
        <x:v>山海·栖霞｜UI 与玩法全面审查看板</x:v>
      </x:c>
      <x:c r="L1" s="4" t="str">
        <x:v>山海·栖霞｜UI 与玩法全面审查看板</x:v>
      </x:c>
      <x:c r="M1" s="4" t="str">
        <x:v>山海·栖霞｜UI 与玩法全面审查看板</x:v>
      </x:c>
      <x:c r="N1" s="4" t="str">
        <x:v>山海·栖霞｜UI 与玩法全面审查看板</x:v>
      </x:c>
      <x:c r="O1" s="4" t="str">
        <x:v>山海·栖霞｜UI 与玩法全面审查看板</x:v>
      </x:c>
      <x:c r="P1" s="4" t="str">
        <x:v>山海·栖霞｜UI 与玩法全面审查看板</x:v>
      </x:c>
      <x:c r="Q1" s="4" t="str">
        <x:v>山海·栖霞｜UI 与玩法全面审查看板</x:v>
      </x:c>
      <x:c r="R1" s="4" t="str">
        <x:v>山海·栖霞｜UI 与玩法全面审查看板</x:v>
      </x:c>
    </x:row>
    <x:row r="2" ht="34" customHeight="1">
      <x:c r="A2" s="4" t="str">
        <x:v>山海·栖霞｜UI 与玩法全面审查看板</x:v>
      </x:c>
      <x:c r="B2" s="4" t="str">
        <x:v>山海·栖霞｜UI 与玩法全面审查看板</x:v>
      </x:c>
      <x:c r="C2" s="4" t="str">
        <x:v>山海·栖霞｜UI 与玩法全面审查看板</x:v>
      </x:c>
      <x:c r="D2" s="4" t="str">
        <x:v>山海·栖霞｜UI 与玩法全面审查看板</x:v>
      </x:c>
      <x:c r="E2" s="4" t="str">
        <x:v>山海·栖霞｜UI 与玩法全面审查看板</x:v>
      </x:c>
      <x:c r="F2" s="4" t="str">
        <x:v>山海·栖霞｜UI 与玩法全面审查看板</x:v>
      </x:c>
      <x:c r="G2" s="4" t="str">
        <x:v>山海·栖霞｜UI 与玩法全面审查看板</x:v>
      </x:c>
      <x:c r="H2" s="4" t="str">
        <x:v>山海·栖霞｜UI 与玩法全面审查看板</x:v>
      </x:c>
      <x:c r="I2" s="4" t="str">
        <x:v>山海·栖霞｜UI 与玩法全面审查看板</x:v>
      </x:c>
      <x:c r="J2" s="4" t="str">
        <x:v>山海·栖霞｜UI 与玩法全面审查看板</x:v>
      </x:c>
      <x:c r="K2" s="4" t="str">
        <x:v>山海·栖霞｜UI 与玩法全面审查看板</x:v>
      </x:c>
      <x:c r="L2" s="4" t="str">
        <x:v>山海·栖霞｜UI 与玩法全面审查看板</x:v>
      </x:c>
      <x:c r="M2" s="4" t="str">
        <x:v>山海·栖霞｜UI 与玩法全面审查看板</x:v>
      </x:c>
      <x:c r="N2" s="4" t="str">
        <x:v>山海·栖霞｜UI 与玩法全面审查看板</x:v>
      </x:c>
      <x:c r="O2" s="4" t="str">
        <x:v>山海·栖霞｜UI 与玩法全面审查看板</x:v>
      </x:c>
      <x:c r="P2" s="4" t="str">
        <x:v>山海·栖霞｜UI 与玩法全面审查看板</x:v>
      </x:c>
      <x:c r="Q2" s="4" t="str">
        <x:v>山海·栖霞｜UI 与玩法全面审查看板</x:v>
      </x:c>
      <x:c r="R2" s="4" t="str">
        <x:v>山海·栖霞｜UI 与玩法全面审查看板</x:v>
      </x:c>
    </x:row>
    <x:row r="3" ht="34" customHeight="1">
      <x:c r="A3" s="8" t="str">
        <x:v>当前清单共 320 项，覆盖 32 个页面/弹窗以及真实运行、异常路径、数值节奏、存档、性能、适配、音画、隐私和发布质量。状态和图表会随记录自动更新。</x:v>
      </x:c>
      <x:c r="B3" s="8" t="str">
        <x:v>当前清单共 320 项，覆盖 32 个页面/弹窗以及真实运行、异常路径、数值节奏、存档、性能、适配、音画、隐私和发布质量。状态和图表会随记录自动更新。</x:v>
      </x:c>
      <x:c r="C3" s="8" t="str">
        <x:v>当前清单共 320 项，覆盖 32 个页面/弹窗以及真实运行、异常路径、数值节奏、存档、性能、适配、音画、隐私和发布质量。状态和图表会随记录自动更新。</x:v>
      </x:c>
      <x:c r="D3" s="8" t="str">
        <x:v>当前清单共 320 项，覆盖 32 个页面/弹窗以及真实运行、异常路径、数值节奏、存档、性能、适配、音画、隐私和发布质量。状态和图表会随记录自动更新。</x:v>
      </x:c>
      <x:c r="E3" s="8" t="str">
        <x:v>当前清单共 320 项，覆盖 32 个页面/弹窗以及真实运行、异常路径、数值节奏、存档、性能、适配、音画、隐私和发布质量。状态和图表会随记录自动更新。</x:v>
      </x:c>
      <x:c r="F3" s="8" t="str">
        <x:v>当前清单共 320 项，覆盖 32 个页面/弹窗以及真实运行、异常路径、数值节奏、存档、性能、适配、音画、隐私和发布质量。状态和图表会随记录自动更新。</x:v>
      </x:c>
      <x:c r="G3" s="8" t="str">
        <x:v>当前清单共 320 项，覆盖 32 个页面/弹窗以及真实运行、异常路径、数值节奏、存档、性能、适配、音画、隐私和发布质量。状态和图表会随记录自动更新。</x:v>
      </x:c>
      <x:c r="H3" s="8" t="str">
        <x:v>当前清单共 320 项，覆盖 32 个页面/弹窗以及真实运行、异常路径、数值节奏、存档、性能、适配、音画、隐私和发布质量。状态和图表会随记录自动更新。</x:v>
      </x:c>
      <x:c r="I3" s="8" t="str">
        <x:v>当前清单共 320 项，覆盖 32 个页面/弹窗以及真实运行、异常路径、数值节奏、存档、性能、适配、音画、隐私和发布质量。状态和图表会随记录自动更新。</x:v>
      </x:c>
      <x:c r="J3" s="8" t="str">
        <x:v>当前清单共 320 项，覆盖 32 个页面/弹窗以及真实运行、异常路径、数值节奏、存档、性能、适配、音画、隐私和发布质量。状态和图表会随记录自动更新。</x:v>
      </x:c>
      <x:c r="K3" s="8" t="str">
        <x:v>当前清单共 320 项，覆盖 32 个页面/弹窗以及真实运行、异常路径、数值节奏、存档、性能、适配、音画、隐私和发布质量。状态和图表会随记录自动更新。</x:v>
      </x:c>
      <x:c r="L3" s="8" t="str">
        <x:v>当前清单共 320 项，覆盖 32 个页面/弹窗以及真实运行、异常路径、数值节奏、存档、性能、适配、音画、隐私和发布质量。状态和图表会随记录自动更新。</x:v>
      </x:c>
      <x:c r="M3" s="8" t="str">
        <x:v>当前清单共 320 项，覆盖 32 个页面/弹窗以及真实运行、异常路径、数值节奏、存档、性能、适配、音画、隐私和发布质量。状态和图表会随记录自动更新。</x:v>
      </x:c>
      <x:c r="N3" s="8" t="str">
        <x:v>当前清单共 320 项，覆盖 32 个页面/弹窗以及真实运行、异常路径、数值节奏、存档、性能、适配、音画、隐私和发布质量。状态和图表会随记录自动更新。</x:v>
      </x:c>
      <x:c r="O3" s="8" t="str">
        <x:v>当前清单共 320 项，覆盖 32 个页面/弹窗以及真实运行、异常路径、数值节奏、存档、性能、适配、音画、隐私和发布质量。状态和图表会随记录自动更新。</x:v>
      </x:c>
      <x:c r="P3" s="8" t="str">
        <x:v>当前清单共 320 项，覆盖 32 个页面/弹窗以及真实运行、异常路径、数值节奏、存档、性能、适配、音画、隐私和发布质量。状态和图表会随记录自动更新。</x:v>
      </x:c>
      <x:c r="Q3" s="8" t="str">
        <x:v>当前清单共 320 项，覆盖 32 个页面/弹窗以及真实运行、异常路径、数值节奏、存档、性能、适配、音画、隐私和发布质量。状态和图表会随记录自动更新。</x:v>
      </x:c>
      <x:c r="R3" s="8" t="str">
        <x:v>当前清单共 320 项，覆盖 32 个页面/弹窗以及真实运行、异常路径、数值节奏、存档、性能、适配、音画、隐私和发布质量。状态和图表会随记录自动更新。</x:v>
      </x:c>
    </x:row>
    <x:row r="5">
      <x:c r="A5" s="61" t="str">
        <x:v>检查项总数</x:v>
      </x:c>
      <x:c r="B5" s="62" t="str">
        <x:v>检查项总数</x:v>
      </x:c>
      <x:c r="C5" s="63" t="str">
        <x:v>检查项总数</x:v>
      </x:c>
      <x:c r="E5" s="61" t="str">
        <x:v>已检查</x:v>
      </x:c>
      <x:c r="F5" s="62" t="str">
        <x:v>已检查</x:v>
      </x:c>
      <x:c r="G5" s="63" t="str">
        <x:v>已检查</x:v>
      </x:c>
      <x:c r="I5" s="61" t="str">
        <x:v>发现问题</x:v>
      </x:c>
      <x:c r="J5" s="62" t="str">
        <x:v>发现问题</x:v>
      </x:c>
      <x:c r="K5" s="63" t="str">
        <x:v>发现问题</x:v>
      </x:c>
      <x:c r="M5" s="61" t="str">
        <x:v>有效通过率</x:v>
      </x:c>
      <x:c r="N5" s="62" t="str">
        <x:v>有效通过率</x:v>
      </x:c>
      <x:c r="O5" s="63" t="str">
        <x:v>有效通过率</x:v>
      </x:c>
    </x:row>
    <x:row r="6">
      <x:c r="A6" s="92" t="n">
        <x:f>COUNTA('审查清单'!$A$5:$A$324)</x:f>
        <x:v>320</x:v>
      </x:c>
      <x:c r="B6" s="93"/>
      <x:c r="C6" s="94"/>
      <x:c r="E6" s="92" t="n">
        <x:f>COUNTIF('审查清单'!$L$5:$L$324,"通过")+COUNTIF('审查清单'!$L$5:$L$324,"有问题")+COUNTIF('审查清单'!$L$5:$L$324,"待复测")+COUNTIF('审查清单'!$L$5:$L$324,"不适用")</x:f>
        <x:v>0</x:v>
      </x:c>
      <x:c r="F6" s="93"/>
      <x:c r="G6" s="94"/>
      <x:c r="I6" s="92" t="n">
        <x:f>COUNTIF('审查清单'!$L$5:$L$324,"有问题")+COUNTIF('审查清单'!$L$5:$L$324,"待复测")</x:f>
        <x:v>0</x:v>
      </x:c>
      <x:c r="J6" s="93"/>
      <x:c r="K6" s="94"/>
      <x:c r="M6" s="119" t="n">
        <x:f>IFERROR(COUNTIF('审查清单'!$L$5:$L$324,"通过")/(COUNTIF('审查清单'!$L$5:$L$324,"通过")+COUNTIF('审查清单'!$L$5:$L$324,"有问题")+COUNTIF('审查清单'!$L$5:$L$324,"待复测")),0)</x:f>
        <x:v>0</x:v>
      </x:c>
      <x:c r="N6" s="120"/>
      <x:c r="O6" s="121"/>
    </x:row>
    <x:row r="7">
      <x:c r="A7" s="95"/>
      <x:c r="B7" s="96"/>
      <x:c r="C7" s="97"/>
      <x:c r="E7" s="95"/>
      <x:c r="F7" s="96"/>
      <x:c r="G7" s="97"/>
      <x:c r="I7" s="95"/>
      <x:c r="J7" s="96"/>
      <x:c r="K7" s="97"/>
      <x:c r="M7" s="122"/>
      <x:c r="N7" s="123"/>
      <x:c r="O7" s="124"/>
    </x:row>
    <x:row r="8">
      <x:c r="A8" s="98"/>
      <x:c r="B8" s="99"/>
      <x:c r="C8" s="100"/>
      <x:c r="E8" s="98"/>
      <x:c r="F8" s="99"/>
      <x:c r="G8" s="100"/>
      <x:c r="I8" s="98"/>
      <x:c r="J8" s="99"/>
      <x:c r="K8" s="100"/>
      <x:c r="M8" s="125"/>
      <x:c r="N8" s="126"/>
      <x:c r="O8" s="127"/>
    </x:row>
    <x:row r="10">
      <x:c r="A10" s="61" t="str">
        <x:v>P0 / P1</x:v>
      </x:c>
      <x:c r="B10" s="62" t="str">
        <x:v>P0 / P1</x:v>
      </x:c>
      <x:c r="C10" s="63" t="str">
        <x:v>P0 / P1</x:v>
      </x:c>
      <x:c r="E10" s="61" t="str">
        <x:v>待复测</x:v>
      </x:c>
      <x:c r="F10" s="62" t="str">
        <x:v>待复测</x:v>
      </x:c>
      <x:c r="G10" s="63" t="str">
        <x:v>待复测</x:v>
      </x:c>
      <x:c r="I10" s="61" t="str">
        <x:v>问题单总数</x:v>
      </x:c>
      <x:c r="J10" s="62" t="str">
        <x:v>问题单总数</x:v>
      </x:c>
      <x:c r="K10" s="63" t="str">
        <x:v>问题单总数</x:v>
      </x:c>
      <x:c r="M10" s="61" t="str">
        <x:v>已关闭问题</x:v>
      </x:c>
      <x:c r="N10" s="62" t="str">
        <x:v>已关闭问题</x:v>
      </x:c>
      <x:c r="O10" s="63" t="str">
        <x:v>已关闭问题</x:v>
      </x:c>
    </x:row>
    <x:row r="11">
      <x:c r="A11" s="92" t="n">
        <x:f>COUNTIF('审查清单'!$R$5:$R$324,"P0")+COUNTIF('审查清单'!$R$5:$R$324,"P1")</x:f>
        <x:v>0</x:v>
      </x:c>
      <x:c r="B11" s="93"/>
      <x:c r="C11" s="94"/>
      <x:c r="E11" s="92" t="n">
        <x:f>COUNTIF('审查清单'!$L$5:$L$324,"待复测")</x:f>
        <x:v>0</x:v>
      </x:c>
      <x:c r="F11" s="93"/>
      <x:c r="G11" s="94"/>
      <x:c r="I11" s="92" t="n">
        <x:f>COUNTIF('问题登记'!$A$5:$A$104,"?*")</x:f>
        <x:v>0</x:v>
      </x:c>
      <x:c r="J11" s="93"/>
      <x:c r="K11" s="94"/>
      <x:c r="M11" s="92" t="n">
        <x:f>COUNTIF('问题登记'!$S$5:$S$104,"已关闭")</x:f>
        <x:v>0</x:v>
      </x:c>
      <x:c r="N11" s="93"/>
      <x:c r="O11" s="94"/>
    </x:row>
    <x:row r="12">
      <x:c r="A12" s="95"/>
      <x:c r="B12" s="96"/>
      <x:c r="C12" s="97"/>
      <x:c r="E12" s="95"/>
      <x:c r="F12" s="96"/>
      <x:c r="G12" s="97"/>
      <x:c r="I12" s="95"/>
      <x:c r="J12" s="96"/>
      <x:c r="K12" s="97"/>
      <x:c r="M12" s="95"/>
      <x:c r="N12" s="96"/>
      <x:c r="O12" s="97"/>
    </x:row>
    <x:row r="13">
      <x:c r="A13" s="98"/>
      <x:c r="B13" s="99"/>
      <x:c r="C13" s="100"/>
      <x:c r="E13" s="98"/>
      <x:c r="F13" s="99"/>
      <x:c r="G13" s="100"/>
      <x:c r="I13" s="98"/>
      <x:c r="J13" s="99"/>
      <x:c r="K13" s="100"/>
      <x:c r="M13" s="98"/>
      <x:c r="N13" s="99"/>
      <x:c r="O13" s="100"/>
    </x:row>
    <x:row r="15" ht="32" customHeight="1">
      <x:c r="A15" s="14" t="str">
        <x:v>一级维度</x:v>
      </x:c>
      <x:c r="B15" s="14" t="str">
        <x:v>检查项</x:v>
      </x:c>
      <x:c r="C15" s="14" t="str">
        <x:v>已检查</x:v>
      </x:c>
      <x:c r="D15" s="14" t="str">
        <x:v>通过</x:v>
      </x:c>
      <x:c r="E15" s="14" t="str">
        <x:v>有问题</x:v>
      </x:c>
      <x:c r="F15" s="14" t="str">
        <x:v>待复测</x:v>
      </x:c>
      <x:c r="G15" s="14" t="str">
        <x:v>不适用</x:v>
      </x:c>
      <x:c r="H15" s="14" t="str">
        <x:v>完成率</x:v>
      </x:c>
      <x:c r="I15" s="14" t="str">
        <x:v>有效通过率</x:v>
      </x:c>
      <x:c r="T15" t="str">
        <x:v>维度编号</x:v>
      </x:c>
      <x:c r="U15" t="str">
        <x:v>检查项</x:v>
      </x:c>
    </x:row>
    <x:row r="16">
      <x:c r="A16" s="22" t="str">
        <x:v>01 核心体验与产品承诺</x:v>
      </x:c>
      <x:c r="B16" s="20" t="n">
        <x:f>COUNTIF('审查清单'!$B$5:$B$324,A16)</x:f>
        <x:v>10</x:v>
      </x:c>
      <x:c r="C16" s="20" t="n">
        <x:f>COUNTIFS('审查清单'!$B$5:$B$324,A16,'审查清单'!$L$5:$L$324,"&lt;&gt;未检查")</x:f>
        <x:v>0</x:v>
      </x:c>
      <x:c r="D16" s="20" t="n">
        <x:f>COUNTIFS('审查清单'!$B$5:$B$324,A16,'审查清单'!$L$5:$L$324,"通过")</x:f>
        <x:v>0</x:v>
      </x:c>
      <x:c r="E16" s="20" t="n">
        <x:f>COUNTIFS('审查清单'!$B$5:$B$324,A16,'审查清单'!$L$5:$L$324,"有问题")</x:f>
        <x:v>0</x:v>
      </x:c>
      <x:c r="F16" s="20" t="n">
        <x:f>COUNTIFS('审查清单'!$B$5:$B$324,A16,'审查清单'!$L$5:$L$324,"待复测")</x:f>
        <x:v>0</x:v>
      </x:c>
      <x:c r="G16" s="20" t="n">
        <x:f>COUNTIFS('审查清单'!$B$5:$B$324,A16,'审查清单'!$L$5:$L$324,"不适用")</x:f>
        <x:v>0</x:v>
      </x:c>
      <x:c r="H16" s="128" t="n">
        <x:f>IFERROR(C16/B16,0)</x:f>
        <x:v>0</x:v>
      </x:c>
      <x:c r="I16" s="128" t="n">
        <x:f>IFERROR(D16/(D16+E16+F16),0)</x:f>
        <x:v>0</x:v>
      </x:c>
      <x:c r="T16" t="str">
        <x:f>LEFT(A16,2)</x:f>
        <x:v>01</x:v>
      </x:c>
      <x:c r="U16" t="n">
        <x:f>B16</x:f>
        <x:v>10</x:v>
      </x:c>
    </x:row>
    <x:row r="17">
      <x:c r="A17" s="23" t="str">
        <x:v>02 首次启动与新手教学</x:v>
      </x:c>
      <x:c r="B17" s="21" t="n">
        <x:f>COUNTIF('审查清单'!$B$5:$B$324,A17)</x:f>
        <x:v>14</x:v>
      </x:c>
      <x:c r="C17" s="21" t="n">
        <x:f>COUNTIFS('审查清单'!$B$5:$B$324,A17,'审查清单'!$L$5:$L$324,"&lt;&gt;未检查")</x:f>
        <x:v>0</x:v>
      </x:c>
      <x:c r="D17" s="21" t="n">
        <x:f>COUNTIFS('审查清单'!$B$5:$B$324,A17,'审查清单'!$L$5:$L$324,"通过")</x:f>
        <x:v>0</x:v>
      </x:c>
      <x:c r="E17" s="21" t="n">
        <x:f>COUNTIFS('审查清单'!$B$5:$B$324,A17,'审查清单'!$L$5:$L$324,"有问题")</x:f>
        <x:v>0</x:v>
      </x:c>
      <x:c r="F17" s="21" t="n">
        <x:f>COUNTIFS('审查清单'!$B$5:$B$324,A17,'审查清单'!$L$5:$L$324,"待复测")</x:f>
        <x:v>0</x:v>
      </x:c>
      <x:c r="G17" s="21" t="n">
        <x:f>COUNTIFS('审查清单'!$B$5:$B$324,A17,'审查清单'!$L$5:$L$324,"不适用")</x:f>
        <x:v>0</x:v>
      </x:c>
      <x:c r="H17" s="129" t="n">
        <x:f>IFERROR(C17/B17,0)</x:f>
        <x:v>0</x:v>
      </x:c>
      <x:c r="I17" s="129" t="n">
        <x:f>IFERROR(D17/(D17+E17+F17),0)</x:f>
        <x:v>0</x:v>
      </x:c>
      <x:c r="T17" t="str">
        <x:f>LEFT(A17,2)</x:f>
        <x:v>02</x:v>
      </x:c>
      <x:c r="U17" t="n">
        <x:f>B17</x:f>
        <x:v>14</x:v>
      </x:c>
    </x:row>
    <x:row r="18">
      <x:c r="A18" s="23" t="str">
        <x:v>03 信息架构与导航</x:v>
      </x:c>
      <x:c r="B18" s="21" t="n">
        <x:f>COUNTIF('审查清单'!$B$5:$B$324,A18)</x:f>
        <x:v>12</x:v>
      </x:c>
      <x:c r="C18" s="21" t="n">
        <x:f>COUNTIFS('审查清单'!$B$5:$B$324,A18,'审查清单'!$L$5:$L$324,"&lt;&gt;未检查")</x:f>
        <x:v>0</x:v>
      </x:c>
      <x:c r="D18" s="21" t="n">
        <x:f>COUNTIFS('审查清单'!$B$5:$B$324,A18,'审查清单'!$L$5:$L$324,"通过")</x:f>
        <x:v>0</x:v>
      </x:c>
      <x:c r="E18" s="21" t="n">
        <x:f>COUNTIFS('审查清单'!$B$5:$B$324,A18,'审查清单'!$L$5:$L$324,"有问题")</x:f>
        <x:v>0</x:v>
      </x:c>
      <x:c r="F18" s="21" t="n">
        <x:f>COUNTIFS('审查清单'!$B$5:$B$324,A18,'审查清单'!$L$5:$L$324,"待复测")</x:f>
        <x:v>0</x:v>
      </x:c>
      <x:c r="G18" s="21" t="n">
        <x:f>COUNTIFS('审查清单'!$B$5:$B$324,A18,'审查清单'!$L$5:$L$324,"不适用")</x:f>
        <x:v>0</x:v>
      </x:c>
      <x:c r="H18" s="129" t="n">
        <x:f>IFERROR(C18/B18,0)</x:f>
        <x:v>0</x:v>
      </x:c>
      <x:c r="I18" s="129" t="n">
        <x:f>IFERROR(D18/(D18+E18+F18),0)</x:f>
        <x:v>0</x:v>
      </x:c>
      <x:c r="T18" t="str">
        <x:f>LEFT(A18,2)</x:f>
        <x:v>03</x:v>
      </x:c>
      <x:c r="U18" t="n">
        <x:f>B18</x:f>
        <x:v>12</x:v>
      </x:c>
    </x:row>
    <x:row r="19">
      <x:c r="A19" s="23" t="str">
        <x:v>04 视觉风格与美术一致性</x:v>
      </x:c>
      <x:c r="B19" s="21" t="n">
        <x:f>COUNTIF('审查清单'!$B$5:$B$324,A19)</x:f>
        <x:v>14</x:v>
      </x:c>
      <x:c r="C19" s="21" t="n">
        <x:f>COUNTIFS('审查清单'!$B$5:$B$324,A19,'审查清单'!$L$5:$L$324,"&lt;&gt;未检查")</x:f>
        <x:v>0</x:v>
      </x:c>
      <x:c r="D19" s="21" t="n">
        <x:f>COUNTIFS('审查清单'!$B$5:$B$324,A19,'审查清单'!$L$5:$L$324,"通过")</x:f>
        <x:v>0</x:v>
      </x:c>
      <x:c r="E19" s="21" t="n">
        <x:f>COUNTIFS('审查清单'!$B$5:$B$324,A19,'审查清单'!$L$5:$L$324,"有问题")</x:f>
        <x:v>0</x:v>
      </x:c>
      <x:c r="F19" s="21" t="n">
        <x:f>COUNTIFS('审查清单'!$B$5:$B$324,A19,'审查清单'!$L$5:$L$324,"待复测")</x:f>
        <x:v>0</x:v>
      </x:c>
      <x:c r="G19" s="21" t="n">
        <x:f>COUNTIFS('审查清单'!$B$5:$B$324,A19,'审查清单'!$L$5:$L$324,"不适用")</x:f>
        <x:v>0</x:v>
      </x:c>
      <x:c r="H19" s="129" t="n">
        <x:f>IFERROR(C19/B19,0)</x:f>
        <x:v>0</x:v>
      </x:c>
      <x:c r="I19" s="129" t="n">
        <x:f>IFERROR(D19/(D19+E19+F19),0)</x:f>
        <x:v>0</x:v>
      </x:c>
      <x:c r="T19" t="str">
        <x:f>LEFT(A19,2)</x:f>
        <x:v>04</x:v>
      </x:c>
      <x:c r="U19" t="n">
        <x:f>B19</x:f>
        <x:v>14</x:v>
      </x:c>
    </x:row>
    <x:row r="20">
      <x:c r="A20" s="23" t="str">
        <x:v>05 布局、层级与可读性</x:v>
      </x:c>
      <x:c r="B20" s="21" t="n">
        <x:f>COUNTIF('审查清单'!$B$5:$B$324,A20)</x:f>
        <x:v>14</x:v>
      </x:c>
      <x:c r="C20" s="21" t="n">
        <x:f>COUNTIFS('审查清单'!$B$5:$B$324,A20,'审查清单'!$L$5:$L$324,"&lt;&gt;未检查")</x:f>
        <x:v>0</x:v>
      </x:c>
      <x:c r="D20" s="21" t="n">
        <x:f>COUNTIFS('审查清单'!$B$5:$B$324,A20,'审查清单'!$L$5:$L$324,"通过")</x:f>
        <x:v>0</x:v>
      </x:c>
      <x:c r="E20" s="21" t="n">
        <x:f>COUNTIFS('审查清单'!$B$5:$B$324,A20,'审查清单'!$L$5:$L$324,"有问题")</x:f>
        <x:v>0</x:v>
      </x:c>
      <x:c r="F20" s="21" t="n">
        <x:f>COUNTIFS('审查清单'!$B$5:$B$324,A20,'审查清单'!$L$5:$L$324,"待复测")</x:f>
        <x:v>0</x:v>
      </x:c>
      <x:c r="G20" s="21" t="n">
        <x:f>COUNTIFS('审查清单'!$B$5:$B$324,A20,'审查清单'!$L$5:$L$324,"不适用")</x:f>
        <x:v>0</x:v>
      </x:c>
      <x:c r="H20" s="129" t="n">
        <x:f>IFERROR(C20/B20,0)</x:f>
        <x:v>0</x:v>
      </x:c>
      <x:c r="I20" s="129" t="n">
        <x:f>IFERROR(D20/(D20+E20+F20),0)</x:f>
        <x:v>0</x:v>
      </x:c>
      <x:c r="T20" t="str">
        <x:f>LEFT(A20,2)</x:f>
        <x:v>05</x:v>
      </x:c>
      <x:c r="U20" t="n">
        <x:f>B20</x:f>
        <x:v>14</x:v>
      </x:c>
    </x:row>
    <x:row r="21">
      <x:c r="A21" s="23" t="str">
        <x:v>06 交互反馈与操作手感</x:v>
      </x:c>
      <x:c r="B21" s="21" t="n">
        <x:f>COUNTIF('审查清单'!$B$5:$B$324,A21)</x:f>
        <x:v>14</x:v>
      </x:c>
      <x:c r="C21" s="21" t="n">
        <x:f>COUNTIFS('审查清单'!$B$5:$B$324,A21,'审查清单'!$L$5:$L$324,"&lt;&gt;未检查")</x:f>
        <x:v>0</x:v>
      </x:c>
      <x:c r="D21" s="21" t="n">
        <x:f>COUNTIFS('审查清单'!$B$5:$B$324,A21,'审查清单'!$L$5:$L$324,"通过")</x:f>
        <x:v>0</x:v>
      </x:c>
      <x:c r="E21" s="21" t="n">
        <x:f>COUNTIFS('审查清单'!$B$5:$B$324,A21,'审查清单'!$L$5:$L$324,"有问题")</x:f>
        <x:v>0</x:v>
      </x:c>
      <x:c r="F21" s="21" t="n">
        <x:f>COUNTIFS('审查清单'!$B$5:$B$324,A21,'审查清单'!$L$5:$L$324,"待复测")</x:f>
        <x:v>0</x:v>
      </x:c>
      <x:c r="G21" s="21" t="n">
        <x:f>COUNTIFS('审查清单'!$B$5:$B$324,A21,'审查清单'!$L$5:$L$324,"不适用")</x:f>
        <x:v>0</x:v>
      </x:c>
      <x:c r="H21" s="129" t="n">
        <x:f>IFERROR(C21/B21,0)</x:f>
        <x:v>0</x:v>
      </x:c>
      <x:c r="I21" s="129" t="n">
        <x:f>IFERROR(D21/(D21+E21+F21),0)</x:f>
        <x:v>0</x:v>
      </x:c>
      <x:c r="T21" t="str">
        <x:f>LEFT(A21,2)</x:f>
        <x:v>06</x:v>
      </x:c>
      <x:c r="U21" t="n">
        <x:f>B21</x:f>
        <x:v>14</x:v>
      </x:c>
    </x:row>
    <x:row r="22">
      <x:c r="A22" s="23" t="str">
        <x:v>07 可访问性与舒适性</x:v>
      </x:c>
      <x:c r="B22" s="21" t="n">
        <x:f>COUNTIF('审查清单'!$B$5:$B$324,A22)</x:f>
        <x:v>12</x:v>
      </x:c>
      <x:c r="C22" s="21" t="n">
        <x:f>COUNTIFS('审查清单'!$B$5:$B$324,A22,'审查清单'!$L$5:$L$324,"&lt;&gt;未检查")</x:f>
        <x:v>0</x:v>
      </x:c>
      <x:c r="D22" s="21" t="n">
        <x:f>COUNTIFS('审查清单'!$B$5:$B$324,A22,'审查清单'!$L$5:$L$324,"通过")</x:f>
        <x:v>0</x:v>
      </x:c>
      <x:c r="E22" s="21" t="n">
        <x:f>COUNTIFS('审查清单'!$B$5:$B$324,A22,'审查清单'!$L$5:$L$324,"有问题")</x:f>
        <x:v>0</x:v>
      </x:c>
      <x:c r="F22" s="21" t="n">
        <x:f>COUNTIFS('审查清单'!$B$5:$B$324,A22,'审查清单'!$L$5:$L$324,"待复测")</x:f>
        <x:v>0</x:v>
      </x:c>
      <x:c r="G22" s="21" t="n">
        <x:f>COUNTIFS('审查清单'!$B$5:$B$324,A22,'审查清单'!$L$5:$L$324,"不适用")</x:f>
        <x:v>0</x:v>
      </x:c>
      <x:c r="H22" s="129" t="n">
        <x:f>IFERROR(C22/B22,0)</x:f>
        <x:v>0</x:v>
      </x:c>
      <x:c r="I22" s="129" t="n">
        <x:f>IFERROR(D22/(D22+E22+F22),0)</x:f>
        <x:v>0</x:v>
      </x:c>
      <x:c r="T22" t="str">
        <x:f>LEFT(A22,2)</x:f>
        <x:v>07</x:v>
      </x:c>
      <x:c r="U22" t="n">
        <x:f>B22</x:f>
        <x:v>12</x:v>
      </x:c>
    </x:row>
    <x:row r="23">
      <x:c r="A23" s="23" t="str">
        <x:v>08 设备、视口与平台兼容</x:v>
      </x:c>
      <x:c r="B23" s="21" t="n">
        <x:f>COUNTIF('审查清单'!$B$5:$B$324,A23)</x:f>
        <x:v>12</x:v>
      </x:c>
      <x:c r="C23" s="21" t="n">
        <x:f>COUNTIFS('审查清单'!$B$5:$B$324,A23,'审查清单'!$L$5:$L$324,"&lt;&gt;未检查")</x:f>
        <x:v>0</x:v>
      </x:c>
      <x:c r="D23" s="21" t="n">
        <x:f>COUNTIFS('审查清单'!$B$5:$B$324,A23,'审查清单'!$L$5:$L$324,"通过")</x:f>
        <x:v>0</x:v>
      </x:c>
      <x:c r="E23" s="21" t="n">
        <x:f>COUNTIFS('审查清单'!$B$5:$B$324,A23,'审查清单'!$L$5:$L$324,"有问题")</x:f>
        <x:v>0</x:v>
      </x:c>
      <x:c r="F23" s="21" t="n">
        <x:f>COUNTIFS('审查清单'!$B$5:$B$324,A23,'审查清单'!$L$5:$L$324,"待复测")</x:f>
        <x:v>0</x:v>
      </x:c>
      <x:c r="G23" s="21" t="n">
        <x:f>COUNTIFS('审查清单'!$B$5:$B$324,A23,'审查清单'!$L$5:$L$324,"不适用")</x:f>
        <x:v>0</x:v>
      </x:c>
      <x:c r="H23" s="129" t="n">
        <x:f>IFERROR(C23/B23,0)</x:f>
        <x:v>0</x:v>
      </x:c>
      <x:c r="I23" s="129" t="n">
        <x:f>IFERROR(D23/(D23+E23+F23),0)</x:f>
        <x:v>0</x:v>
      </x:c>
      <x:c r="T23" t="str">
        <x:f>LEFT(A23,2)</x:f>
        <x:v>08</x:v>
      </x:c>
      <x:c r="U23" t="n">
        <x:f>B23</x:f>
        <x:v>12</x:v>
      </x:c>
    </x:row>
    <x:row r="24">
      <x:c r="A24" s="23" t="str">
        <x:v>09 灵阵合并棋盘</x:v>
      </x:c>
      <x:c r="B24" s="21" t="n">
        <x:f>COUNTIF('审查清单'!$B$5:$B$324,A24)</x:f>
        <x:v>18</x:v>
      </x:c>
      <x:c r="C24" s="21" t="n">
        <x:f>COUNTIFS('审查清单'!$B$5:$B$324,A24,'审查清单'!$L$5:$L$324,"&lt;&gt;未检查")</x:f>
        <x:v>0</x:v>
      </x:c>
      <x:c r="D24" s="21" t="n">
        <x:f>COUNTIFS('审查清单'!$B$5:$B$324,A24,'审查清单'!$L$5:$L$324,"通过")</x:f>
        <x:v>0</x:v>
      </x:c>
      <x:c r="E24" s="21" t="n">
        <x:f>COUNTIFS('审查清单'!$B$5:$B$324,A24,'审查清单'!$L$5:$L$324,"有问题")</x:f>
        <x:v>0</x:v>
      </x:c>
      <x:c r="F24" s="21" t="n">
        <x:f>COUNTIFS('审查清单'!$B$5:$B$324,A24,'审查清单'!$L$5:$L$324,"待复测")</x:f>
        <x:v>0</x:v>
      </x:c>
      <x:c r="G24" s="21" t="n">
        <x:f>COUNTIFS('审查清单'!$B$5:$B$324,A24,'审查清单'!$L$5:$L$324,"不适用")</x:f>
        <x:v>0</x:v>
      </x:c>
      <x:c r="H24" s="129" t="n">
        <x:f>IFERROR(C24/B24,0)</x:f>
        <x:v>0</x:v>
      </x:c>
      <x:c r="I24" s="129" t="n">
        <x:f>IFERROR(D24/(D24+E24+F24),0)</x:f>
        <x:v>0</x:v>
      </x:c>
      <x:c r="T24" t="str">
        <x:f>LEFT(A24,2)</x:f>
        <x:v>09</x:v>
      </x:c>
      <x:c r="U24" t="n">
        <x:f>B24</x:f>
        <x:v>18</x:v>
      </x:c>
    </x:row>
    <x:row r="25">
      <x:c r="A25" s="23" t="str">
        <x:v>10 物品、生成器、药匣与配方</x:v>
      </x:c>
      <x:c r="B25" s="21" t="n">
        <x:f>COUNTIF('审查清单'!$B$5:$B$324,A25)</x:f>
        <x:v>14</x:v>
      </x:c>
      <x:c r="C25" s="21" t="n">
        <x:f>COUNTIFS('审查清单'!$B$5:$B$324,A25,'审查清单'!$L$5:$L$324,"&lt;&gt;未检查")</x:f>
        <x:v>0</x:v>
      </x:c>
      <x:c r="D25" s="21" t="n">
        <x:f>COUNTIFS('审查清单'!$B$5:$B$324,A25,'审查清单'!$L$5:$L$324,"通过")</x:f>
        <x:v>0</x:v>
      </x:c>
      <x:c r="E25" s="21" t="n">
        <x:f>COUNTIFS('审查清单'!$B$5:$B$324,A25,'审查清单'!$L$5:$L$324,"有问题")</x:f>
        <x:v>0</x:v>
      </x:c>
      <x:c r="F25" s="21" t="n">
        <x:f>COUNTIFS('审查清单'!$B$5:$B$324,A25,'审查清单'!$L$5:$L$324,"待复测")</x:f>
        <x:v>0</x:v>
      </x:c>
      <x:c r="G25" s="21" t="n">
        <x:f>COUNTIFS('审查清单'!$B$5:$B$324,A25,'审查清单'!$L$5:$L$324,"不适用")</x:f>
        <x:v>0</x:v>
      </x:c>
      <x:c r="H25" s="129" t="n">
        <x:f>IFERROR(C25/B25,0)</x:f>
        <x:v>0</x:v>
      </x:c>
      <x:c r="I25" s="129" t="n">
        <x:f>IFERROR(D25/(D25+E25+F25),0)</x:f>
        <x:v>0</x:v>
      </x:c>
      <x:c r="T25" t="str">
        <x:f>LEFT(A25,2)</x:f>
        <x:v>10</x:v>
      </x:c>
      <x:c r="U25" t="n">
        <x:f>B25</x:f>
        <x:v>14</x:v>
      </x:c>
    </x:row>
    <x:row r="26">
      <x:c r="A26" s="23" t="str">
        <x:v>11 当前目标、订单与素材来源</x:v>
      </x:c>
      <x:c r="B26" s="21" t="n">
        <x:f>COUNTIF('审查清单'!$B$5:$B$324,A26)</x:f>
        <x:v>14</x:v>
      </x:c>
      <x:c r="C26" s="21" t="n">
        <x:f>COUNTIFS('审查清单'!$B$5:$B$324,A26,'审查清单'!$L$5:$L$324,"&lt;&gt;未检查")</x:f>
        <x:v>0</x:v>
      </x:c>
      <x:c r="D26" s="21" t="n">
        <x:f>COUNTIFS('审查清单'!$B$5:$B$324,A26,'审查清单'!$L$5:$L$324,"通过")</x:f>
        <x:v>0</x:v>
      </x:c>
      <x:c r="E26" s="21" t="n">
        <x:f>COUNTIFS('审查清单'!$B$5:$B$324,A26,'审查清单'!$L$5:$L$324,"有问题")</x:f>
        <x:v>0</x:v>
      </x:c>
      <x:c r="F26" s="21" t="n">
        <x:f>COUNTIFS('审查清单'!$B$5:$B$324,A26,'审查清单'!$L$5:$L$324,"待复测")</x:f>
        <x:v>0</x:v>
      </x:c>
      <x:c r="G26" s="21" t="n">
        <x:f>COUNTIFS('审查清单'!$B$5:$B$324,A26,'审查清单'!$L$5:$L$324,"不适用")</x:f>
        <x:v>0</x:v>
      </x:c>
      <x:c r="H26" s="129" t="n">
        <x:f>IFERROR(C26/B26,0)</x:f>
        <x:v>0</x:v>
      </x:c>
      <x:c r="I26" s="129" t="n">
        <x:f>IFERROR(D26/(D26+E26+F26),0)</x:f>
        <x:v>0</x:v>
      </x:c>
      <x:c r="T26" t="str">
        <x:f>LEFT(A26,2)</x:f>
        <x:v>11</x:v>
      </x:c>
      <x:c r="U26" t="n">
        <x:f>B26</x:f>
        <x:v>14</x:v>
      </x:c>
    </x:row>
    <x:row r="27">
      <x:c r="A27" s="23" t="str">
        <x:v>12 宗门舆图、区域与设施</x:v>
      </x:c>
      <x:c r="B27" s="21" t="n">
        <x:f>COUNTIF('审查清单'!$B$5:$B$324,A27)</x:f>
        <x:v>12</x:v>
      </x:c>
      <x:c r="C27" s="21" t="n">
        <x:f>COUNTIFS('审查清单'!$B$5:$B$324,A27,'审查清单'!$L$5:$L$324,"&lt;&gt;未检查")</x:f>
        <x:v>0</x:v>
      </x:c>
      <x:c r="D27" s="21" t="n">
        <x:f>COUNTIFS('审查清单'!$B$5:$B$324,A27,'审查清单'!$L$5:$L$324,"通过")</x:f>
        <x:v>0</x:v>
      </x:c>
      <x:c r="E27" s="21" t="n">
        <x:f>COUNTIFS('审查清单'!$B$5:$B$324,A27,'审查清单'!$L$5:$L$324,"有问题")</x:f>
        <x:v>0</x:v>
      </x:c>
      <x:c r="F27" s="21" t="n">
        <x:f>COUNTIFS('审查清单'!$B$5:$B$324,A27,'审查清单'!$L$5:$L$324,"待复测")</x:f>
        <x:v>0</x:v>
      </x:c>
      <x:c r="G27" s="21" t="n">
        <x:f>COUNTIFS('审查清单'!$B$5:$B$324,A27,'审查清单'!$L$5:$L$324,"不适用")</x:f>
        <x:v>0</x:v>
      </x:c>
      <x:c r="H27" s="129" t="n">
        <x:f>IFERROR(C27/B27,0)</x:f>
        <x:v>0</x:v>
      </x:c>
      <x:c r="I27" s="129" t="n">
        <x:f>IFERROR(D27/(D27+E27+F27),0)</x:f>
        <x:v>0</x:v>
      </x:c>
      <x:c r="T27" t="str">
        <x:f>LEFT(A27,2)</x:f>
        <x:v>12</x:v>
      </x:c>
      <x:c r="U27" t="n">
        <x:f>B27</x:f>
        <x:v>12</x:v>
      </x:c>
    </x:row>
    <x:row r="28">
      <x:c r="A28" s="23" t="str">
        <x:v>13 神兽照料、疗愈、蜕变与岗位</x:v>
      </x:c>
      <x:c r="B28" s="21" t="n">
        <x:f>COUNTIF('审查清单'!$B$5:$B$324,A28)</x:f>
        <x:v>16</x:v>
      </x:c>
      <x:c r="C28" s="21" t="n">
        <x:f>COUNTIFS('审查清单'!$B$5:$B$324,A28,'审查清单'!$L$5:$L$324,"&lt;&gt;未检查")</x:f>
        <x:v>0</x:v>
      </x:c>
      <x:c r="D28" s="21" t="n">
        <x:f>COUNTIFS('审查清单'!$B$5:$B$324,A28,'审查清单'!$L$5:$L$324,"通过")</x:f>
        <x:v>0</x:v>
      </x:c>
      <x:c r="E28" s="21" t="n">
        <x:f>COUNTIFS('审查清单'!$B$5:$B$324,A28,'审查清单'!$L$5:$L$324,"有问题")</x:f>
        <x:v>0</x:v>
      </x:c>
      <x:c r="F28" s="21" t="n">
        <x:f>COUNTIFS('审查清单'!$B$5:$B$324,A28,'审查清单'!$L$5:$L$324,"待复测")</x:f>
        <x:v>0</x:v>
      </x:c>
      <x:c r="G28" s="21" t="n">
        <x:f>COUNTIFS('审查清单'!$B$5:$B$324,A28,'审查清单'!$L$5:$L$324,"不适用")</x:f>
        <x:v>0</x:v>
      </x:c>
      <x:c r="H28" s="129" t="n">
        <x:f>IFERROR(C28/B28,0)</x:f>
        <x:v>0</x:v>
      </x:c>
      <x:c r="I28" s="129" t="n">
        <x:f>IFERROR(D28/(D28+E28+F28),0)</x:f>
        <x:v>0</x:v>
      </x:c>
      <x:c r="T28" t="str">
        <x:f>LEFT(A28,2)</x:f>
        <x:v>13</x:v>
      </x:c>
      <x:c r="U28" t="n">
        <x:f>B28</x:f>
        <x:v>16</x:v>
      </x:c>
    </x:row>
    <x:row r="29">
      <x:c r="A29" s="23" t="str">
        <x:v>14 玩具塔与梳洗台小游戏</x:v>
      </x:c>
      <x:c r="B29" s="21" t="n">
        <x:f>COUNTIF('审查清单'!$B$5:$B$324,A29)</x:f>
        <x:v>16</x:v>
      </x:c>
      <x:c r="C29" s="21" t="n">
        <x:f>COUNTIFS('审查清单'!$B$5:$B$324,A29,'审查清单'!$L$5:$L$324,"&lt;&gt;未检查")</x:f>
        <x:v>0</x:v>
      </x:c>
      <x:c r="D29" s="21" t="n">
        <x:f>COUNTIFS('审查清单'!$B$5:$B$324,A29,'审查清单'!$L$5:$L$324,"通过")</x:f>
        <x:v>0</x:v>
      </x:c>
      <x:c r="E29" s="21" t="n">
        <x:f>COUNTIFS('审查清单'!$B$5:$B$324,A29,'审查清单'!$L$5:$L$324,"有问题")</x:f>
        <x:v>0</x:v>
      </x:c>
      <x:c r="F29" s="21" t="n">
        <x:f>COUNTIFS('审查清单'!$B$5:$B$324,A29,'审查清单'!$L$5:$L$324,"待复测")</x:f>
        <x:v>0</x:v>
      </x:c>
      <x:c r="G29" s="21" t="n">
        <x:f>COUNTIFS('审查清单'!$B$5:$B$324,A29,'审查清单'!$L$5:$L$324,"不适用")</x:f>
        <x:v>0</x:v>
      </x:c>
      <x:c r="H29" s="129" t="n">
        <x:f>IFERROR(C29/B29,0)</x:f>
        <x:v>0</x:v>
      </x:c>
      <x:c r="I29" s="129" t="n">
        <x:f>IFERROR(D29/(D29+E29+F29),0)</x:f>
        <x:v>0</x:v>
      </x:c>
      <x:c r="T29" t="str">
        <x:f>LEFT(A29,2)</x:f>
        <x:v>14</x:v>
      </x:c>
      <x:c r="U29" t="n">
        <x:f>B29</x:f>
        <x:v>16</x:v>
      </x:c>
    </x:row>
    <x:row r="30">
      <x:c r="A30" s="23" t="str">
        <x:v>15 剧情、卷章、图鉴与旅程</x:v>
      </x:c>
      <x:c r="B30" s="21" t="n">
        <x:f>COUNTIF('审查清单'!$B$5:$B$324,A30)</x:f>
        <x:v>14</x:v>
      </x:c>
      <x:c r="C30" s="21" t="n">
        <x:f>COUNTIFS('审查清单'!$B$5:$B$324,A30,'审查清单'!$L$5:$L$324,"&lt;&gt;未检查")</x:f>
        <x:v>0</x:v>
      </x:c>
      <x:c r="D30" s="21" t="n">
        <x:f>COUNTIFS('审查清单'!$B$5:$B$324,A30,'审查清单'!$L$5:$L$324,"通过")</x:f>
        <x:v>0</x:v>
      </x:c>
      <x:c r="E30" s="21" t="n">
        <x:f>COUNTIFS('审查清单'!$B$5:$B$324,A30,'审查清单'!$L$5:$L$324,"有问题")</x:f>
        <x:v>0</x:v>
      </x:c>
      <x:c r="F30" s="21" t="n">
        <x:f>COUNTIFS('审查清单'!$B$5:$B$324,A30,'审查清单'!$L$5:$L$324,"待复测")</x:f>
        <x:v>0</x:v>
      </x:c>
      <x:c r="G30" s="21" t="n">
        <x:f>COUNTIFS('审查清单'!$B$5:$B$324,A30,'审查清单'!$L$5:$L$324,"不适用")</x:f>
        <x:v>0</x:v>
      </x:c>
      <x:c r="H30" s="129" t="n">
        <x:f>IFERROR(C30/B30,0)</x:f>
        <x:v>0</x:v>
      </x:c>
      <x:c r="I30" s="129" t="n">
        <x:f>IFERROR(D30/(D30+E30+F30),0)</x:f>
        <x:v>0</x:v>
      </x:c>
      <x:c r="T30" t="str">
        <x:f>LEFT(A30,2)</x:f>
        <x:v>15</x:v>
      </x:c>
      <x:c r="U30" t="n">
        <x:f>B30</x:f>
        <x:v>14</x:v>
      </x:c>
    </x:row>
    <x:row r="31">
      <x:c r="A31" s="23" t="str">
        <x:v>16 数值、经济、难度与节奏</x:v>
      </x:c>
      <x:c r="B31" s="21" t="n">
        <x:f>COUNTIF('审查清单'!$B$5:$B$324,A31)</x:f>
        <x:v>18</x:v>
      </x:c>
      <x:c r="C31" s="21" t="n">
        <x:f>COUNTIFS('审查清单'!$B$5:$B$324,A31,'审查清单'!$L$5:$L$324,"&lt;&gt;未检查")</x:f>
        <x:v>0</x:v>
      </x:c>
      <x:c r="D31" s="21" t="n">
        <x:f>COUNTIFS('审查清单'!$B$5:$B$324,A31,'审查清单'!$L$5:$L$324,"通过")</x:f>
        <x:v>0</x:v>
      </x:c>
      <x:c r="E31" s="21" t="n">
        <x:f>COUNTIFS('审查清单'!$B$5:$B$324,A31,'审查清单'!$L$5:$L$324,"有问题")</x:f>
        <x:v>0</x:v>
      </x:c>
      <x:c r="F31" s="21" t="n">
        <x:f>COUNTIFS('审查清单'!$B$5:$B$324,A31,'审查清单'!$L$5:$L$324,"待复测")</x:f>
        <x:v>0</x:v>
      </x:c>
      <x:c r="G31" s="21" t="n">
        <x:f>COUNTIFS('审查清单'!$B$5:$B$324,A31,'审查清单'!$L$5:$L$324,"不适用")</x:f>
        <x:v>0</x:v>
      </x:c>
      <x:c r="H31" s="129" t="n">
        <x:f>IFERROR(C31/B31,0)</x:f>
        <x:v>0</x:v>
      </x:c>
      <x:c r="I31" s="129" t="n">
        <x:f>IFERROR(D31/(D31+E31+F31),0)</x:f>
        <x:v>0</x:v>
      </x:c>
      <x:c r="T31" t="str">
        <x:f>LEFT(A31,2)</x:f>
        <x:v>16</x:v>
      </x:c>
      <x:c r="U31" t="n">
        <x:f>B31</x:f>
        <x:v>18</x:v>
      </x:c>
    </x:row>
    <x:row r="32">
      <x:c r="A32" s="23" t="str">
        <x:v>17 日常、回流与留存</x:v>
      </x:c>
      <x:c r="B32" s="21" t="n">
        <x:f>COUNTIF('审查清单'!$B$5:$B$324,A32)</x:f>
        <x:v>12</x:v>
      </x:c>
      <x:c r="C32" s="21" t="n">
        <x:f>COUNTIFS('审查清单'!$B$5:$B$324,A32,'审查清单'!$L$5:$L$324,"&lt;&gt;未检查")</x:f>
        <x:v>0</x:v>
      </x:c>
      <x:c r="D32" s="21" t="n">
        <x:f>COUNTIFS('审查清单'!$B$5:$B$324,A32,'审查清单'!$L$5:$L$324,"通过")</x:f>
        <x:v>0</x:v>
      </x:c>
      <x:c r="E32" s="21" t="n">
        <x:f>COUNTIFS('审查清单'!$B$5:$B$324,A32,'审查清单'!$L$5:$L$324,"有问题")</x:f>
        <x:v>0</x:v>
      </x:c>
      <x:c r="F32" s="21" t="n">
        <x:f>COUNTIFS('审查清单'!$B$5:$B$324,A32,'审查清单'!$L$5:$L$324,"待复测")</x:f>
        <x:v>0</x:v>
      </x:c>
      <x:c r="G32" s="21" t="n">
        <x:f>COUNTIFS('审查清单'!$B$5:$B$324,A32,'审查清单'!$L$5:$L$324,"不适用")</x:f>
        <x:v>0</x:v>
      </x:c>
      <x:c r="H32" s="129" t="n">
        <x:f>IFERROR(C32/B32,0)</x:f>
        <x:v>0</x:v>
      </x:c>
      <x:c r="I32" s="129" t="n">
        <x:f>IFERROR(D32/(D32+E32+F32),0)</x:f>
        <x:v>0</x:v>
      </x:c>
      <x:c r="T32" t="str">
        <x:f>LEFT(A32,2)</x:f>
        <x:v>17</x:v>
      </x:c>
      <x:c r="U32" t="n">
        <x:f>B32</x:f>
        <x:v>12</x:v>
      </x:c>
    </x:row>
    <x:row r="33">
      <x:c r="A33" s="23" t="str">
        <x:v>18 存档、迁移、导入导出与事务</x:v>
      </x:c>
      <x:c r="B33" s="21" t="n">
        <x:f>COUNTIF('审查清单'!$B$5:$B$324,A33)</x:f>
        <x:v>16</x:v>
      </x:c>
      <x:c r="C33" s="21" t="n">
        <x:f>COUNTIFS('审查清单'!$B$5:$B$324,A33,'审查清单'!$L$5:$L$324,"&lt;&gt;未检查")</x:f>
        <x:v>0</x:v>
      </x:c>
      <x:c r="D33" s="21" t="n">
        <x:f>COUNTIFS('审查清单'!$B$5:$B$324,A33,'审查清单'!$L$5:$L$324,"通过")</x:f>
        <x:v>0</x:v>
      </x:c>
      <x:c r="E33" s="21" t="n">
        <x:f>COUNTIFS('审查清单'!$B$5:$B$324,A33,'审查清单'!$L$5:$L$324,"有问题")</x:f>
        <x:v>0</x:v>
      </x:c>
      <x:c r="F33" s="21" t="n">
        <x:f>COUNTIFS('审查清单'!$B$5:$B$324,A33,'审查清单'!$L$5:$L$324,"待复测")</x:f>
        <x:v>0</x:v>
      </x:c>
      <x:c r="G33" s="21" t="n">
        <x:f>COUNTIFS('审查清单'!$B$5:$B$324,A33,'审查清单'!$L$5:$L$324,"不适用")</x:f>
        <x:v>0</x:v>
      </x:c>
      <x:c r="H33" s="129" t="n">
        <x:f>IFERROR(C33/B33,0)</x:f>
        <x:v>0</x:v>
      </x:c>
      <x:c r="I33" s="129" t="n">
        <x:f>IFERROR(D33/(D33+E33+F33),0)</x:f>
        <x:v>0</x:v>
      </x:c>
      <x:c r="T33" t="str">
        <x:f>LEFT(A33,2)</x:f>
        <x:v>18</x:v>
      </x:c>
      <x:c r="U33" t="n">
        <x:f>B33</x:f>
        <x:v>16</x:v>
      </x:c>
    </x:row>
    <x:row r="34">
      <x:c r="A34" s="23" t="str">
        <x:v>19 弱网、错误与恢复</x:v>
      </x:c>
      <x:c r="B34" s="21" t="n">
        <x:f>COUNTIF('审查清单'!$B$5:$B$324,A34)</x:f>
        <x:v>10</x:v>
      </x:c>
      <x:c r="C34" s="21" t="n">
        <x:f>COUNTIFS('审查清单'!$B$5:$B$324,A34,'审查清单'!$L$5:$L$324,"&lt;&gt;未检查")</x:f>
        <x:v>0</x:v>
      </x:c>
      <x:c r="D34" s="21" t="n">
        <x:f>COUNTIFS('审查清单'!$B$5:$B$324,A34,'审查清单'!$L$5:$L$324,"通过")</x:f>
        <x:v>0</x:v>
      </x:c>
      <x:c r="E34" s="21" t="n">
        <x:f>COUNTIFS('审查清单'!$B$5:$B$324,A34,'审查清单'!$L$5:$L$324,"有问题")</x:f>
        <x:v>0</x:v>
      </x:c>
      <x:c r="F34" s="21" t="n">
        <x:f>COUNTIFS('审查清单'!$B$5:$B$324,A34,'审查清单'!$L$5:$L$324,"待复测")</x:f>
        <x:v>0</x:v>
      </x:c>
      <x:c r="G34" s="21" t="n">
        <x:f>COUNTIFS('审查清单'!$B$5:$B$324,A34,'审查清单'!$L$5:$L$324,"不适用")</x:f>
        <x:v>0</x:v>
      </x:c>
      <x:c r="H34" s="129" t="n">
        <x:f>IFERROR(C34/B34,0)</x:f>
        <x:v>0</x:v>
      </x:c>
      <x:c r="I34" s="129" t="n">
        <x:f>IFERROR(D34/(D34+E34+F34),0)</x:f>
        <x:v>0</x:v>
      </x:c>
      <x:c r="T34" t="str">
        <x:f>LEFT(A34,2)</x:f>
        <x:v>19</x:v>
      </x:c>
      <x:c r="U34" t="n">
        <x:f>B34</x:f>
        <x:v>10</x:v>
      </x:c>
    </x:row>
    <x:row r="35">
      <x:c r="A35" s="23" t="str">
        <x:v>20 性能、加载与稳定性</x:v>
      </x:c>
      <x:c r="B35" s="21" t="n">
        <x:f>COUNTIF('审查清单'!$B$5:$B$324,A35)</x:f>
        <x:v>14</x:v>
      </x:c>
      <x:c r="C35" s="21" t="n">
        <x:f>COUNTIFS('审查清单'!$B$5:$B$324,A35,'审查清单'!$L$5:$L$324,"&lt;&gt;未检查")</x:f>
        <x:v>0</x:v>
      </x:c>
      <x:c r="D35" s="21" t="n">
        <x:f>COUNTIFS('审查清单'!$B$5:$B$324,A35,'审查清单'!$L$5:$L$324,"通过")</x:f>
        <x:v>0</x:v>
      </x:c>
      <x:c r="E35" s="21" t="n">
        <x:f>COUNTIFS('审查清单'!$B$5:$B$324,A35,'审查清单'!$L$5:$L$324,"有问题")</x:f>
        <x:v>0</x:v>
      </x:c>
      <x:c r="F35" s="21" t="n">
        <x:f>COUNTIFS('审查清单'!$B$5:$B$324,A35,'审查清单'!$L$5:$L$324,"待复测")</x:f>
        <x:v>0</x:v>
      </x:c>
      <x:c r="G35" s="21" t="n">
        <x:f>COUNTIFS('审查清单'!$B$5:$B$324,A35,'审查清单'!$L$5:$L$324,"不适用")</x:f>
        <x:v>0</x:v>
      </x:c>
      <x:c r="H35" s="129" t="n">
        <x:f>IFERROR(C35/B35,0)</x:f>
        <x:v>0</x:v>
      </x:c>
      <x:c r="I35" s="129" t="n">
        <x:f>IFERROR(D35/(D35+E35+F35),0)</x:f>
        <x:v>0</x:v>
      </x:c>
      <x:c r="T35" t="str">
        <x:f>LEFT(A35,2)</x:f>
        <x:v>20</x:v>
      </x:c>
      <x:c r="U35" t="n">
        <x:f>B35</x:f>
        <x:v>14</x:v>
      </x:c>
    </x:row>
    <x:row r="36">
      <x:c r="A36" s="23" t="str">
        <x:v>21 音频、视频与动效</x:v>
      </x:c>
      <x:c r="B36" s="21" t="n">
        <x:f>COUNTIF('审查清单'!$B$5:$B$324,A36)</x:f>
        <x:v>12</x:v>
      </x:c>
      <x:c r="C36" s="21" t="n">
        <x:f>COUNTIFS('审查清单'!$B$5:$B$324,A36,'审查清单'!$L$5:$L$324,"&lt;&gt;未检查")</x:f>
        <x:v>0</x:v>
      </x:c>
      <x:c r="D36" s="21" t="n">
        <x:f>COUNTIFS('审查清单'!$B$5:$B$324,A36,'审查清单'!$L$5:$L$324,"通过")</x:f>
        <x:v>0</x:v>
      </x:c>
      <x:c r="E36" s="21" t="n">
        <x:f>COUNTIFS('审查清单'!$B$5:$B$324,A36,'审查清单'!$L$5:$L$324,"有问题")</x:f>
        <x:v>0</x:v>
      </x:c>
      <x:c r="F36" s="21" t="n">
        <x:f>COUNTIFS('审查清单'!$B$5:$B$324,A36,'审查清单'!$L$5:$L$324,"待复测")</x:f>
        <x:v>0</x:v>
      </x:c>
      <x:c r="G36" s="21" t="n">
        <x:f>COUNTIFS('审查清单'!$B$5:$B$324,A36,'审查清单'!$L$5:$L$324,"不适用")</x:f>
        <x:v>0</x:v>
      </x:c>
      <x:c r="H36" s="129" t="n">
        <x:f>IFERROR(C36/B36,0)</x:f>
        <x:v>0</x:v>
      </x:c>
      <x:c r="I36" s="129" t="n">
        <x:f>IFERROR(D36/(D36+E36+F36),0)</x:f>
        <x:v>0</x:v>
      </x:c>
      <x:c r="T36" t="str">
        <x:f>LEFT(A36,2)</x:f>
        <x:v>21</x:v>
      </x:c>
      <x:c r="U36" t="n">
        <x:f>B36</x:f>
        <x:v>12</x:v>
      </x:c>
    </x:row>
    <x:row r="37">
      <x:c r="A37" s="23" t="str">
        <x:v>22 隐私、统计、广告与合规</x:v>
      </x:c>
      <x:c r="B37" s="21" t="n">
        <x:f>COUNTIF('审查清单'!$B$5:$B$324,A37)</x:f>
        <x:v>14</x:v>
      </x:c>
      <x:c r="C37" s="21" t="n">
        <x:f>COUNTIFS('审查清单'!$B$5:$B$324,A37,'审查清单'!$L$5:$L$324,"&lt;&gt;未检查")</x:f>
        <x:v>0</x:v>
      </x:c>
      <x:c r="D37" s="21" t="n">
        <x:f>COUNTIFS('审查清单'!$B$5:$B$324,A37,'审查清单'!$L$5:$L$324,"通过")</x:f>
        <x:v>0</x:v>
      </x:c>
      <x:c r="E37" s="21" t="n">
        <x:f>COUNTIFS('审查清单'!$B$5:$B$324,A37,'审查清单'!$L$5:$L$324,"有问题")</x:f>
        <x:v>0</x:v>
      </x:c>
      <x:c r="F37" s="21" t="n">
        <x:f>COUNTIFS('审查清单'!$B$5:$B$324,A37,'审查清单'!$L$5:$L$324,"待复测")</x:f>
        <x:v>0</x:v>
      </x:c>
      <x:c r="G37" s="21" t="n">
        <x:f>COUNTIFS('审查清单'!$B$5:$B$324,A37,'审查清单'!$L$5:$L$324,"不适用")</x:f>
        <x:v>0</x:v>
      </x:c>
      <x:c r="H37" s="129" t="n">
        <x:f>IFERROR(C37/B37,0)</x:f>
        <x:v>0</x:v>
      </x:c>
      <x:c r="I37" s="129" t="n">
        <x:f>IFERROR(D37/(D37+E37+F37),0)</x:f>
        <x:v>0</x:v>
      </x:c>
      <x:c r="T37" t="str">
        <x:f>LEFT(A37,2)</x:f>
        <x:v>22</x:v>
      </x:c>
      <x:c r="U37" t="n">
        <x:f>B37</x:f>
        <x:v>14</x:v>
      </x:c>
    </x:row>
    <x:row r="38">
      <x:c r="A38" s="23" t="str">
        <x:v>23 版本、发布与运行一致性</x:v>
      </x:c>
      <x:c r="B38" s="21" t="n">
        <x:f>COUNTIF('审查清单'!$B$5:$B$324,A38)</x:f>
        <x:v>8</x:v>
      </x:c>
      <x:c r="C38" s="21" t="n">
        <x:f>COUNTIFS('审查清单'!$B$5:$B$324,A38,'审查清单'!$L$5:$L$324,"&lt;&gt;未检查")</x:f>
        <x:v>0</x:v>
      </x:c>
      <x:c r="D38" s="21" t="n">
        <x:f>COUNTIFS('审查清单'!$B$5:$B$324,A38,'审查清单'!$L$5:$L$324,"通过")</x:f>
        <x:v>0</x:v>
      </x:c>
      <x:c r="E38" s="21" t="n">
        <x:f>COUNTIFS('审查清单'!$B$5:$B$324,A38,'审查清单'!$L$5:$L$324,"有问题")</x:f>
        <x:v>0</x:v>
      </x:c>
      <x:c r="F38" s="21" t="n">
        <x:f>COUNTIFS('审查清单'!$B$5:$B$324,A38,'审查清单'!$L$5:$L$324,"待复测")</x:f>
        <x:v>0</x:v>
      </x:c>
      <x:c r="G38" s="21" t="n">
        <x:f>COUNTIFS('审查清单'!$B$5:$B$324,A38,'审查清单'!$L$5:$L$324,"不适用")</x:f>
        <x:v>0</x:v>
      </x:c>
      <x:c r="H38" s="129" t="n">
        <x:f>IFERROR(C38/B38,0)</x:f>
        <x:v>0</x:v>
      </x:c>
      <x:c r="I38" s="129" t="n">
        <x:f>IFERROR(D38/(D38+E38+F38),0)</x:f>
        <x:v>0</x:v>
      </x:c>
      <x:c r="T38" t="str">
        <x:f>LEFT(A38,2)</x:f>
        <x:v>23</x:v>
      </x:c>
      <x:c r="U38" t="n">
        <x:f>B38</x:f>
        <x:v>8</x:v>
      </x:c>
    </x:row>
    <x:row r="39">
      <x:c r="A39" s="23" t="str">
        <x:v>24 测试观测、运营与维护</x:v>
      </x:c>
      <x:c r="B39" s="21" t="n">
        <x:f>COUNTIF('审查清单'!$B$5:$B$324,A39)</x:f>
        <x:v>10</x:v>
      </x:c>
      <x:c r="C39" s="21" t="n">
        <x:f>COUNTIFS('审查清单'!$B$5:$B$324,A39,'审查清单'!$L$5:$L$324,"&lt;&gt;未检查")</x:f>
        <x:v>0</x:v>
      </x:c>
      <x:c r="D39" s="21" t="n">
        <x:f>COUNTIFS('审查清单'!$B$5:$B$324,A39,'审查清单'!$L$5:$L$324,"通过")</x:f>
        <x:v>0</x:v>
      </x:c>
      <x:c r="E39" s="21" t="n">
        <x:f>COUNTIFS('审查清单'!$B$5:$B$324,A39,'审查清单'!$L$5:$L$324,"有问题")</x:f>
        <x:v>0</x:v>
      </x:c>
      <x:c r="F39" s="21" t="n">
        <x:f>COUNTIFS('审查清单'!$B$5:$B$324,A39,'审查清单'!$L$5:$L$324,"待复测")</x:f>
        <x:v>0</x:v>
      </x:c>
      <x:c r="G39" s="21" t="n">
        <x:f>COUNTIFS('审查清单'!$B$5:$B$324,A39,'审查清单'!$L$5:$L$324,"不适用")</x:f>
        <x:v>0</x:v>
      </x:c>
      <x:c r="H39" s="129" t="n">
        <x:f>IFERROR(C39/B39,0)</x:f>
        <x:v>0</x:v>
      </x:c>
      <x:c r="I39" s="129" t="n">
        <x:f>IFERROR(D39/(D39+E39+F39),0)</x:f>
        <x:v>0</x:v>
      </x:c>
      <x:c r="T39" t="str">
        <x:f>LEFT(A39,2)</x:f>
        <x:v>24</x:v>
      </x:c>
      <x:c r="U39" t="n">
        <x:f>B39</x:f>
        <x:v>10</x:v>
      </x:c>
    </x:row>
    <x:row r="42" ht="42" customHeight="1">
      <x:c r="A42" s="138" t="str">
        <x:v>建议先审：启动与首局 → 当前目标/导航 → 7×7 灵阵闭环 → 满盘/灵力不足/来源不可得等异常 → 存档恢复 → 五档视口与性能；再扩展至剧情、长线数值与运营。</x:v>
      </x:c>
      <x:c r="B42" s="139" t="str">
        <x:v>建议先审：启动与首局 → 当前目标/导航 → 7×7 灵阵闭环 → 满盘/灵力不足/来源不可得等异常 → 存档恢复 → 五档视口与性能；再扩展至剧情、长线数值与运营。</x:v>
      </x:c>
      <x:c r="C42" s="139" t="str">
        <x:v>建议先审：启动与首局 → 当前目标/导航 → 7×7 灵阵闭环 → 满盘/灵力不足/来源不可得等异常 → 存档恢复 → 五档视口与性能；再扩展至剧情、长线数值与运营。</x:v>
      </x:c>
      <x:c r="D42" s="139" t="str">
        <x:v>建议先审：启动与首局 → 当前目标/导航 → 7×7 灵阵闭环 → 满盘/灵力不足/来源不可得等异常 → 存档恢复 → 五档视口与性能；再扩展至剧情、长线数值与运营。</x:v>
      </x:c>
      <x:c r="E42" s="139" t="str">
        <x:v>建议先审：启动与首局 → 当前目标/导航 → 7×7 灵阵闭环 → 满盘/灵力不足/来源不可得等异常 → 存档恢复 → 五档视口与性能；再扩展至剧情、长线数值与运营。</x:v>
      </x:c>
      <x:c r="F42" s="139" t="str">
        <x:v>建议先审：启动与首局 → 当前目标/导航 → 7×7 灵阵闭环 → 满盘/灵力不足/来源不可得等异常 → 存档恢复 → 五档视口与性能；再扩展至剧情、长线数值与运营。</x:v>
      </x:c>
      <x:c r="G42" s="139" t="str">
        <x:v>建议先审：启动与首局 → 当前目标/导航 → 7×7 灵阵闭环 → 满盘/灵力不足/来源不可得等异常 → 存档恢复 → 五档视口与性能；再扩展至剧情、长线数值与运营。</x:v>
      </x:c>
      <x:c r="H42" s="139" t="str">
        <x:v>建议先审：启动与首局 → 当前目标/导航 → 7×7 灵阵闭环 → 满盘/灵力不足/来源不可得等异常 → 存档恢复 → 五档视口与性能；再扩展至剧情、长线数值与运营。</x:v>
      </x:c>
      <x:c r="I42" s="140" t="str">
        <x:v>建议先审：启动与首局 → 当前目标/导航 → 7×7 灵阵闭环 → 满盘/灵力不足/来源不可得等异常 → 存档恢复 → 五档视口与性能；再扩展至剧情、长线数值与运营。</x:v>
      </x:c>
    </x:row>
  </x:sheetData>
  <x:mergeCells>
    <x:mergeCell ref="A1:R2"/>
    <x:mergeCell ref="A3:R3"/>
    <x:mergeCell ref="A5:C5"/>
    <x:mergeCell ref="A6:C8"/>
    <x:mergeCell ref="E5:G5"/>
    <x:mergeCell ref="E6:G8"/>
    <x:mergeCell ref="I5:K5"/>
    <x:mergeCell ref="I6:K8"/>
    <x:mergeCell ref="M5:O5"/>
    <x:mergeCell ref="M6:O8"/>
    <x:mergeCell ref="A10:C10"/>
    <x:mergeCell ref="A11:C13"/>
    <x:mergeCell ref="E10:G10"/>
    <x:mergeCell ref="E11:G13"/>
    <x:mergeCell ref="I10:K10"/>
    <x:mergeCell ref="I11:K13"/>
    <x:mergeCell ref="M10:O10"/>
    <x:mergeCell ref="M11:O13"/>
    <x:mergeCell ref="A42:I42"/>
  </x:mergeCells>
  <x:conditionalFormatting sqref="H16:I39">
    <x:cfRule type="colorScale" priority="1">
      <x:colorScale>
        <x:cfvo type="min"/>
        <x:cfvo type="percentile" val="50"/>
        <x:cfvo type="max"/>
        <x:color rgb="FFF4D8D2"/>
        <x:color rgb="FFF5E6BA"/>
        <x:color rgb="FFDCE9DE"/>
      </x:colorScale>
    </x:cfRule>
  </x:conditionalFormatting>
  <x:pageMargins left="0.7" right="0.7" top="0.75" bottom="0.75" header="0.3" footer="0.3"/>
  <x:drawing xmlns:r="http://schemas.openxmlformats.org/officeDocument/2006/relationships" r:id="R9808312471d245b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19" hidden="0" customWidth="1"/>
    <x:col min="4" max="4" width="22" hidden="0" customWidth="1"/>
    <x:col min="5" max="5" width="34" hidden="0" customWidth="1"/>
    <x:col min="6" max="6" width="42" hidden="0" customWidth="1"/>
    <x:col min="7" max="7" width="30" hidden="0" customWidth="1"/>
    <x:col min="8" max="8" width="14" hidden="0" customWidth="1"/>
    <x:col min="9" max="9" width="14" hidden="0" customWidth="1"/>
    <x:col min="10" max="10" width="18" hidden="0" customWidth="1"/>
    <x:col min="11" max="11" width="2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9" hidden="0" customWidth="1"/>
    <x:col min="17" max="17" width="10" hidden="0" customWidth="1"/>
    <x:col min="18" max="18" width="12" hidden="0" customWidth="1"/>
    <x:col min="19" max="19" width="12" hidden="0" customWidth="1"/>
    <x:col min="20" max="20" width="34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28" hidden="0" customWidth="1"/>
  </x:cols>
  <x:sheetData>
    <x:row r="1" ht="34" customHeight="1">
      <x:c r="A1" s="4" t="str">
        <x:v>山海·栖霞｜UI 与玩法全面审查清单</x:v>
      </x:c>
      <x:c r="B1" s="4" t="str">
        <x:v>山海·栖霞｜UI 与玩法全面审查清单</x:v>
      </x:c>
      <x:c r="C1" s="4" t="str">
        <x:v>山海·栖霞｜UI 与玩法全面审查清单</x:v>
      </x:c>
      <x:c r="D1" s="4" t="str">
        <x:v>山海·栖霞｜UI 与玩法全面审查清单</x:v>
      </x:c>
      <x:c r="E1" s="4" t="str">
        <x:v>山海·栖霞｜UI 与玩法全面审查清单</x:v>
      </x:c>
      <x:c r="F1" s="4" t="str">
        <x:v>山海·栖霞｜UI 与玩法全面审查清单</x:v>
      </x:c>
      <x:c r="G1" s="4" t="str">
        <x:v>山海·栖霞｜UI 与玩法全面审查清单</x:v>
      </x:c>
      <x:c r="H1" s="4" t="str">
        <x:v>山海·栖霞｜UI 与玩法全面审查清单</x:v>
      </x:c>
      <x:c r="I1" s="4" t="str">
        <x:v>山海·栖霞｜UI 与玩法全面审查清单</x:v>
      </x:c>
      <x:c r="J1" s="4" t="str">
        <x:v>山海·栖霞｜UI 与玩法全面审查清单</x:v>
      </x:c>
      <x:c r="K1" s="4" t="str">
        <x:v>山海·栖霞｜UI 与玩法全面审查清单</x:v>
      </x:c>
      <x:c r="L1" s="4" t="str">
        <x:v>山海·栖霞｜UI 与玩法全面审查清单</x:v>
      </x:c>
      <x:c r="M1" s="4" t="str">
        <x:v>山海·栖霞｜UI 与玩法全面审查清单</x:v>
      </x:c>
      <x:c r="N1" s="4" t="str">
        <x:v>山海·栖霞｜UI 与玩法全面审查清单</x:v>
      </x:c>
      <x:c r="O1" s="4" t="str">
        <x:v>山海·栖霞｜UI 与玩法全面审查清单</x:v>
      </x:c>
      <x:c r="P1" s="4" t="str">
        <x:v>山海·栖霞｜UI 与玩法全面审查清单</x:v>
      </x:c>
      <x:c r="Q1" s="4" t="str">
        <x:v>山海·栖霞｜UI 与玩法全面审查清单</x:v>
      </x:c>
      <x:c r="R1" s="4" t="str">
        <x:v>山海·栖霞｜UI 与玩法全面审查清单</x:v>
      </x:c>
      <x:c r="S1" s="4" t="str">
        <x:v>山海·栖霞｜UI 与玩法全面审查清单</x:v>
      </x:c>
      <x:c r="T1" s="4" t="str">
        <x:v>山海·栖霞｜UI 与玩法全面审查清单</x:v>
      </x:c>
      <x:c r="U1" s="4" t="str">
        <x:v>山海·栖霞｜UI 与玩法全面审查清单</x:v>
      </x:c>
      <x:c r="V1" s="4" t="str">
        <x:v>山海·栖霞｜UI 与玩法全面审查清单</x:v>
      </x:c>
      <x:c r="W1" s="4" t="str">
        <x:v>山海·栖霞｜UI 与玩法全面审查清单</x:v>
      </x:c>
      <x:c r="X1" s="4" t="str">
        <x:v>山海·栖霞｜UI 与玩法全面审查清单</x:v>
      </x:c>
      <x:c r="Y1" s="4" t="str">
        <x:v>山海·栖霞｜UI 与玩法全面审查清单</x:v>
      </x:c>
    </x:row>
    <x:row r="2" ht="34" customHeight="1">
      <x:c r="A2" s="4" t="str">
        <x:v>山海·栖霞｜UI 与玩法全面审查清单</x:v>
      </x:c>
      <x:c r="B2" s="4" t="str">
        <x:v>山海·栖霞｜UI 与玩法全面审查清单</x:v>
      </x:c>
      <x:c r="C2" s="4" t="str">
        <x:v>山海·栖霞｜UI 与玩法全面审查清单</x:v>
      </x:c>
      <x:c r="D2" s="4" t="str">
        <x:v>山海·栖霞｜UI 与玩法全面审查清单</x:v>
      </x:c>
      <x:c r="E2" s="4" t="str">
        <x:v>山海·栖霞｜UI 与玩法全面审查清单</x:v>
      </x:c>
      <x:c r="F2" s="4" t="str">
        <x:v>山海·栖霞｜UI 与玩法全面审查清单</x:v>
      </x:c>
      <x:c r="G2" s="4" t="str">
        <x:v>山海·栖霞｜UI 与玩法全面审查清单</x:v>
      </x:c>
      <x:c r="H2" s="4" t="str">
        <x:v>山海·栖霞｜UI 与玩法全面审查清单</x:v>
      </x:c>
      <x:c r="I2" s="4" t="str">
        <x:v>山海·栖霞｜UI 与玩法全面审查清单</x:v>
      </x:c>
      <x:c r="J2" s="4" t="str">
        <x:v>山海·栖霞｜UI 与玩法全面审查清单</x:v>
      </x:c>
      <x:c r="K2" s="4" t="str">
        <x:v>山海·栖霞｜UI 与玩法全面审查清单</x:v>
      </x:c>
      <x:c r="L2" s="4" t="str">
        <x:v>山海·栖霞｜UI 与玩法全面审查清单</x:v>
      </x:c>
      <x:c r="M2" s="4" t="str">
        <x:v>山海·栖霞｜UI 与玩法全面审查清单</x:v>
      </x:c>
      <x:c r="N2" s="4" t="str">
        <x:v>山海·栖霞｜UI 与玩法全面审查清单</x:v>
      </x:c>
      <x:c r="O2" s="4" t="str">
        <x:v>山海·栖霞｜UI 与玩法全面审查清单</x:v>
      </x:c>
      <x:c r="P2" s="4" t="str">
        <x:v>山海·栖霞｜UI 与玩法全面审查清单</x:v>
      </x:c>
      <x:c r="Q2" s="4" t="str">
        <x:v>山海·栖霞｜UI 与玩法全面审查清单</x:v>
      </x:c>
      <x:c r="R2" s="4" t="str">
        <x:v>山海·栖霞｜UI 与玩法全面审查清单</x:v>
      </x:c>
      <x:c r="S2" s="4" t="str">
        <x:v>山海·栖霞｜UI 与玩法全面审查清单</x:v>
      </x:c>
      <x:c r="T2" s="4" t="str">
        <x:v>山海·栖霞｜UI 与玩法全面审查清单</x:v>
      </x:c>
      <x:c r="U2" s="4" t="str">
        <x:v>山海·栖霞｜UI 与玩法全面审查清单</x:v>
      </x:c>
      <x:c r="V2" s="4" t="str">
        <x:v>山海·栖霞｜UI 与玩法全面审查清单</x:v>
      </x:c>
      <x:c r="W2" s="4" t="str">
        <x:v>山海·栖霞｜UI 与玩法全面审查清单</x:v>
      </x:c>
      <x:c r="X2" s="4" t="str">
        <x:v>山海·栖霞｜UI 与玩法全面审查清单</x:v>
      </x:c>
      <x:c r="Y2" s="4" t="str">
        <x:v>山海·栖霞｜UI 与玩法全面审查清单</x:v>
      </x:c>
    </x:row>
    <x:row r="3" ht="34" customHeight="1">
      <x:c r="A3" s="8" t="str">
        <x:v>使用方法：先逐项检查并填证据；发现问题时选择严重度、频率和影响分，风险分与优先级自动计算；再把需要独立跟踪的问题登记到“问题登记”。</x:v>
      </x:c>
      <x:c r="B3" s="8" t="str">
        <x:v>使用方法：先逐项检查并填证据；发现问题时选择严重度、频率和影响分，风险分与优先级自动计算；再把需要独立跟踪的问题登记到“问题登记”。</x:v>
      </x:c>
      <x:c r="C3" s="8" t="str">
        <x:v>使用方法：先逐项检查并填证据；发现问题时选择严重度、频率和影响分，风险分与优先级自动计算；再把需要独立跟踪的问题登记到“问题登记”。</x:v>
      </x:c>
      <x:c r="D3" s="8" t="str">
        <x:v>使用方法：先逐项检查并填证据；发现问题时选择严重度、频率和影响分，风险分与优先级自动计算；再把需要独立跟踪的问题登记到“问题登记”。</x:v>
      </x:c>
      <x:c r="E3" s="8" t="str">
        <x:v>使用方法：先逐项检查并填证据；发现问题时选择严重度、频率和影响分，风险分与优先级自动计算；再把需要独立跟踪的问题登记到“问题登记”。</x:v>
      </x:c>
      <x:c r="F3" s="8" t="str">
        <x:v>使用方法：先逐项检查并填证据；发现问题时选择严重度、频率和影响分，风险分与优先级自动计算；再把需要独立跟踪的问题登记到“问题登记”。</x:v>
      </x:c>
      <x:c r="G3" s="8" t="str">
        <x:v>使用方法：先逐项检查并填证据；发现问题时选择严重度、频率和影响分，风险分与优先级自动计算；再把需要独立跟踪的问题登记到“问题登记”。</x:v>
      </x:c>
      <x:c r="H3" s="8" t="str">
        <x:v>使用方法：先逐项检查并填证据；发现问题时选择严重度、频率和影响分，风险分与优先级自动计算；再把需要独立跟踪的问题登记到“问题登记”。</x:v>
      </x:c>
      <x:c r="I3" s="8" t="str">
        <x:v>使用方法：先逐项检查并填证据；发现问题时选择严重度、频率和影响分，风险分与优先级自动计算；再把需要独立跟踪的问题登记到“问题登记”。</x:v>
      </x:c>
      <x:c r="J3" s="8" t="str">
        <x:v>使用方法：先逐项检查并填证据；发现问题时选择严重度、频率和影响分，风险分与优先级自动计算；再把需要独立跟踪的问题登记到“问题登记”。</x:v>
      </x:c>
      <x:c r="K3" s="8" t="str">
        <x:v>使用方法：先逐项检查并填证据；发现问题时选择严重度、频率和影响分，风险分与优先级自动计算；再把需要独立跟踪的问题登记到“问题登记”。</x:v>
      </x:c>
      <x:c r="L3" s="8" t="str">
        <x:v>使用方法：先逐项检查并填证据；发现问题时选择严重度、频率和影响分，风险分与优先级自动计算；再把需要独立跟踪的问题登记到“问题登记”。</x:v>
      </x:c>
      <x:c r="M3" s="8" t="str">
        <x:v>使用方法：先逐项检查并填证据；发现问题时选择严重度、频率和影响分，风险分与优先级自动计算；再把需要独立跟踪的问题登记到“问题登记”。</x:v>
      </x:c>
      <x:c r="N3" s="8" t="str">
        <x:v>使用方法：先逐项检查并填证据；发现问题时选择严重度、频率和影响分，风险分与优先级自动计算；再把需要独立跟踪的问题登记到“问题登记”。</x:v>
      </x:c>
      <x:c r="O3" s="8" t="str">
        <x:v>使用方法：先逐项检查并填证据；发现问题时选择严重度、频率和影响分，风险分与优先级自动计算；再把需要独立跟踪的问题登记到“问题登记”。</x:v>
      </x:c>
      <x:c r="P3" s="8" t="str">
        <x:v>使用方法：先逐项检查并填证据；发现问题时选择严重度、频率和影响分，风险分与优先级自动计算；再把需要独立跟踪的问题登记到“问题登记”。</x:v>
      </x:c>
      <x:c r="Q3" s="8" t="str">
        <x:v>使用方法：先逐项检查并填证据；发现问题时选择严重度、频率和影响分，风险分与优先级自动计算；再把需要独立跟踪的问题登记到“问题登记”。</x:v>
      </x:c>
      <x:c r="R3" s="8" t="str">
        <x:v>使用方法：先逐项检查并填证据；发现问题时选择严重度、频率和影响分，风险分与优先级自动计算；再把需要独立跟踪的问题登记到“问题登记”。</x:v>
      </x:c>
      <x:c r="S3" s="8" t="str">
        <x:v>使用方法：先逐项检查并填证据；发现问题时选择严重度、频率和影响分，风险分与优先级自动计算；再把需要独立跟踪的问题登记到“问题登记”。</x:v>
      </x:c>
      <x:c r="T3" s="8" t="str">
        <x:v>使用方法：先逐项检查并填证据；发现问题时选择严重度、频率和影响分，风险分与优先级自动计算；再把需要独立跟踪的问题登记到“问题登记”。</x:v>
      </x:c>
      <x:c r="U3" s="8" t="str">
        <x:v>使用方法：先逐项检查并填证据；发现问题时选择严重度、频率和影响分，风险分与优先级自动计算；再把需要独立跟踪的问题登记到“问题登记”。</x:v>
      </x:c>
      <x:c r="V3" s="8" t="str">
        <x:v>使用方法：先逐项检查并填证据；发现问题时选择严重度、频率和影响分，风险分与优先级自动计算；再把需要独立跟踪的问题登记到“问题登记”。</x:v>
      </x:c>
      <x:c r="W3" s="8" t="str">
        <x:v>使用方法：先逐项检查并填证据；发现问题时选择严重度、频率和影响分，风险分与优先级自动计算；再把需要独立跟踪的问题登记到“问题登记”。</x:v>
      </x:c>
      <x:c r="X3" s="8" t="str">
        <x:v>使用方法：先逐项检查并填证据；发现问题时选择严重度、频率和影响分，风险分与优先级自动计算；再把需要独立跟踪的问题登记到“问题登记”。</x:v>
      </x:c>
      <x:c r="Y3" s="8" t="str">
        <x:v>使用方法：先逐项检查并填证据；发现问题时选择严重度、频率和影响分，风险分与优先级自动计算；再把需要独立跟踪的问题登记到“问题登记”。</x:v>
      </x:c>
    </x:row>
    <x:row r="4" ht="32" customHeight="1">
      <x:c r="A4" s="14" t="str">
        <x:v>检查ID</x:v>
      </x:c>
      <x:c r="B4" s="14" t="str">
        <x:v>一级维度</x:v>
      </x:c>
      <x:c r="C4" s="14" t="str">
        <x:v>二级维度</x:v>
      </x:c>
      <x:c r="D4" s="14" t="str">
        <x:v>场景/系统</x:v>
      </x:c>
      <x:c r="E4" s="14" t="str">
        <x:v>具体检查项</x:v>
      </x:c>
      <x:c r="F4" s="14" t="str">
        <x:v>通过标准</x:v>
      </x:c>
      <x:c r="G4" s="14" t="str">
        <x:v>测试方法</x:v>
      </x:c>
      <x:c r="H4" s="14" t="str">
        <x:v>体验影响面</x:v>
      </x:c>
      <x:c r="I4" s="14" t="str">
        <x:v>用户阶段</x:v>
      </x:c>
      <x:c r="J4" s="14" t="str">
        <x:v>平台/视口</x:v>
      </x:c>
      <x:c r="K4" s="14" t="str">
        <x:v>证据/截图</x:v>
      </x:c>
      <x:c r="L4" s="14" t="str">
        <x:v>审查状态</x:v>
      </x:c>
      <x:c r="M4" s="14" t="str">
        <x:v>严重度</x:v>
      </x:c>
      <x:c r="N4" s="14" t="str">
        <x:v>发生频率</x:v>
      </x:c>
      <x:c r="O4" s="14" t="str">
        <x:v>体验影响(1-5)</x:v>
      </x:c>
      <x:c r="P4" s="14" t="str">
        <x:v>风险分</x:v>
      </x:c>
      <x:c r="Q4" s="14" t="str">
        <x:v>修复成本</x:v>
      </x:c>
      <x:c r="R4" s="14" t="str">
        <x:v>整改优先级</x:v>
      </x:c>
      <x:c r="S4" s="14" t="str">
        <x:v>责任人</x:v>
      </x:c>
      <x:c r="T4" s="14" t="str">
        <x:v>修复建议</x:v>
      </x:c>
      <x:c r="U4" s="14" t="str">
        <x:v>目标版本</x:v>
      </x:c>
      <x:c r="V4" s="14" t="str">
        <x:v>截止日期</x:v>
      </x:c>
      <x:c r="W4" s="14" t="str">
        <x:v>复测人</x:v>
      </x:c>
      <x:c r="X4" s="14" t="str">
        <x:v>复测结论</x:v>
      </x:c>
      <x:c r="Y4" s="14" t="str">
        <x:v>备注</x:v>
      </x:c>
    </x:row>
    <x:row r="5" ht="52" customHeight="1">
      <x:c r="A5" s="26" t="str">
        <x:v>UX-001</x:v>
      </x:c>
      <x:c r="B5" s="22" t="str">
        <x:v>01 核心体验与产品承诺</x:v>
      </x:c>
      <x:c r="C5" s="22" t="str">
        <x:v>定位与情感目标</x:v>
      </x:c>
      <x:c r="D5" s="22" t="str">
        <x:v>全局</x:v>
      </x:c>
      <x:c r="E5" s="20" t="str">
        <x:v>品牌名称统一为“山海·栖霞”</x:v>
      </x:c>
      <x:c r="F5" s="20" t="str">
        <x:v>启动、标题、设置、分享与错误页均无旧品牌或项目代号</x:v>
      </x:c>
      <x:c r="G5" s="20" t="str">
        <x:v>全局搜索 + 逐屏核对</x:v>
      </x:c>
      <x:c r="H5" s="20" t="str">
        <x:v>理解/操作</x:v>
      </x:c>
      <x:c r="I5" s="20" t="str">
        <x:v>全流程</x:v>
      </x:c>
      <x:c r="J5" s="20" t="str">
        <x:v>全平台</x:v>
      </x:c>
      <x:c r="K5" s="20" t="str"/>
      <x:c r="L5" s="28" t="str">
        <x:v>未检查</x:v>
      </x:c>
      <x:c r="M5" s="28" t="str">
        <x:v>未确认</x:v>
      </x:c>
      <x:c r="N5" s="28" t="str">
        <x:v>未确认</x:v>
      </x:c>
      <x:c r="O5" s="28" t="str"/>
      <x:c r="P5" s="28" t="str">
        <x:f>IF(OR(L5="未检查",L5="通过",L5="不适用"),"",IFERROR(VLOOKUP(M5,'口径与下拉'!$A$9:$B$14,2,FALSE),0)+IFERROR(VLOOKUP(N5,'口径与下拉'!$D$9:$E$14,2,FALSE),0)+O5)</x:f>
      </x:c>
      <x:c r="Q5" s="28" t="str"/>
      <x:c r="R5" s="28" t="str">
        <x:f>IF(P5="","",IF(P5&gt;=13,"P0",IF(P5&gt;=10,"P1",IF(P5&gt;=7,"P2","P3"))))</x:f>
      </x:c>
      <x:c r="S5" s="20" t="str"/>
      <x:c r="T5" s="20" t="str"/>
      <x:c r="U5" s="20" t="str"/>
      <x:c r="V5" s="30" t="str"/>
      <x:c r="W5" s="20" t="str"/>
      <x:c r="X5" s="20" t="str">
        <x:v>未复测</x:v>
      </x:c>
      <x:c r="Y5" s="20" t="str"/>
    </x:row>
    <x:row r="6" ht="52" customHeight="1">
      <x:c r="A6" s="27" t="str">
        <x:v>UX-002</x:v>
      </x:c>
      <x:c r="B6" s="23" t="str">
        <x:v>01 核心体验与产品承诺</x:v>
      </x:c>
      <x:c r="C6" s="23" t="str">
        <x:v>定位与情感目标</x:v>
      </x:c>
      <x:c r="D6" s="23" t="str">
        <x:v>全局</x:v>
      </x:c>
      <x:c r="E6" s="21" t="str">
        <x:v>治愈陪伴是体验主轴</x:v>
      </x:c>
      <x:c r="F6" s="21" t="str">
        <x:v>玩法反馈、文案和奖励不以惩罚、压迫或战斗碾压为主要驱动力</x:v>
      </x:c>
      <x:c r="G6" s="21" t="str">
        <x:v>完整玩 30 分钟并记录情绪曲线</x:v>
      </x:c>
      <x:c r="H6" s="21" t="str">
        <x:v>情绪/品牌</x:v>
      </x:c>
      <x:c r="I6" s="21" t="str">
        <x:v>全流程</x:v>
      </x:c>
      <x:c r="J6" s="21" t="str">
        <x:v>全平台</x:v>
      </x:c>
      <x:c r="K6" s="21" t="str"/>
      <x:c r="L6" s="29" t="str">
        <x:v>未检查</x:v>
      </x:c>
      <x:c r="M6" s="29" t="str">
        <x:v>未确认</x:v>
      </x:c>
      <x:c r="N6" s="29" t="str">
        <x:v>未确认</x:v>
      </x:c>
      <x:c r="O6" s="29" t="str"/>
      <x:c r="P6" s="29" t="str">
        <x:f>IF(OR(L6="未检查",L6="通过",L6="不适用"),"",IFERROR(VLOOKUP(M6,'口径与下拉'!$A$9:$B$14,2,FALSE),0)+IFERROR(VLOOKUP(N6,'口径与下拉'!$D$9:$E$14,2,FALSE),0)+O6)</x:f>
      </x:c>
      <x:c r="Q6" s="29" t="str"/>
      <x:c r="R6" s="29" t="str">
        <x:f>IF(P6="","",IF(P6&gt;=13,"P0",IF(P6&gt;=10,"P1",IF(P6&gt;=7,"P2","P3"))))</x:f>
      </x:c>
      <x:c r="S6" s="21" t="str"/>
      <x:c r="T6" s="21" t="str"/>
      <x:c r="U6" s="21" t="str"/>
      <x:c r="V6" s="31" t="str"/>
      <x:c r="W6" s="21" t="str"/>
      <x:c r="X6" s="21" t="str">
        <x:v>未复测</x:v>
      </x:c>
      <x:c r="Y6" s="21" t="str"/>
    </x:row>
    <x:row r="7" ht="52" customHeight="1">
      <x:c r="A7" s="27" t="str">
        <x:v>UX-003</x:v>
      </x:c>
      <x:c r="B7" s="23" t="str">
        <x:v>01 核心体验与产品承诺</x:v>
      </x:c>
      <x:c r="C7" s="23" t="str">
        <x:v>定位与情感目标</x:v>
      </x:c>
      <x:c r="D7" s="23" t="str">
        <x:v>全局</x:v>
      </x:c>
      <x:c r="E7" s="21" t="str">
        <x:v>落差萌卖点可被首局感知</x:v>
      </x:c>
      <x:c r="F7" s="21" t="str">
        <x:v>首局能看到神兽落魄状态、性格反差及被照料后的正向变化</x:v>
      </x:c>
      <x:c r="G7" s="21" t="str">
        <x:v>新玩家首局观察</x:v>
      </x:c>
      <x:c r="H7" s="21" t="str">
        <x:v>情绪/传播</x:v>
      </x:c>
      <x:c r="I7" s="21" t="str">
        <x:v>首局引导</x:v>
      </x:c>
      <x:c r="J7" s="21" t="str">
        <x:v>全平台</x:v>
      </x:c>
      <x:c r="K7" s="21" t="str"/>
      <x:c r="L7" s="29" t="str">
        <x:v>未检查</x:v>
      </x:c>
      <x:c r="M7" s="29" t="str">
        <x:v>未确认</x:v>
      </x:c>
      <x:c r="N7" s="29" t="str">
        <x:v>未确认</x:v>
      </x:c>
      <x:c r="O7" s="29" t="str"/>
      <x:c r="P7" s="29" t="str">
        <x:f>IF(OR(L7="未检查",L7="通过",L7="不适用"),"",IFERROR(VLOOKUP(M7,'口径与下拉'!$A$9:$B$14,2,FALSE),0)+IFERROR(VLOOKUP(N7,'口径与下拉'!$D$9:$E$14,2,FALSE),0)+O7)</x:f>
      </x:c>
      <x:c r="Q7" s="29" t="str"/>
      <x:c r="R7" s="29" t="str">
        <x:f>IF(P7="","",IF(P7&gt;=13,"P0",IF(P7&gt;=10,"P1",IF(P7&gt;=7,"P2","P3"))))</x:f>
      </x:c>
      <x:c r="S7" s="21" t="str"/>
      <x:c r="T7" s="21" t="str"/>
      <x:c r="U7" s="21" t="str"/>
      <x:c r="V7" s="31" t="str"/>
      <x:c r="W7" s="21" t="str"/>
      <x:c r="X7" s="21" t="str">
        <x:v>未复测</x:v>
      </x:c>
      <x:c r="Y7" s="21" t="str"/>
    </x:row>
    <x:row r="8" ht="52" customHeight="1">
      <x:c r="A8" s="27" t="str">
        <x:v>UX-004</x:v>
      </x:c>
      <x:c r="B8" s="23" t="str">
        <x:v>01 核心体验与产品承诺</x:v>
      </x:c>
      <x:c r="C8" s="23" t="str">
        <x:v>定位与情感目标</x:v>
      </x:c>
      <x:c r="D8" s="23" t="str">
        <x:v>全局</x:v>
      </x:c>
      <x:c r="E8" s="21" t="str">
        <x:v>温柔即解法得到机制兑现</x:v>
      </x:c>
      <x:c r="F8" s="21" t="str">
        <x:v>对症照料优于纯堆数值；任何合法照料都有明确正反馈</x:v>
      </x:c>
      <x:c r="G8" s="21" t="str">
        <x:v>多种照料方式对比</x:v>
      </x:c>
      <x:c r="H8" s="21" t="str">
        <x:v>情绪/策略</x:v>
      </x:c>
      <x:c r="I8" s="21" t="str">
        <x:v>全流程</x:v>
      </x:c>
      <x:c r="J8" s="21" t="str">
        <x:v>全平台</x:v>
      </x:c>
      <x:c r="K8" s="21" t="str"/>
      <x:c r="L8" s="29" t="str">
        <x:v>未检查</x:v>
      </x:c>
      <x:c r="M8" s="29" t="str">
        <x:v>未确认</x:v>
      </x:c>
      <x:c r="N8" s="29" t="str">
        <x:v>未确认</x:v>
      </x:c>
      <x:c r="O8" s="29" t="str"/>
      <x:c r="P8" s="29" t="str">
        <x:f>IF(OR(L8="未检查",L8="通过",L8="不适用"),"",IFERROR(VLOOKUP(M8,'口径与下拉'!$A$9:$B$14,2,FALSE),0)+IFERROR(VLOOKUP(N8,'口径与下拉'!$D$9:$E$14,2,FALSE),0)+O8)</x:f>
      </x:c>
      <x:c r="Q8" s="29" t="str"/>
      <x:c r="R8" s="29" t="str">
        <x:f>IF(P8="","",IF(P8&gt;=13,"P0",IF(P8&gt;=10,"P1",IF(P8&gt;=7,"P2","P3"))))</x:f>
      </x:c>
      <x:c r="S8" s="21" t="str"/>
      <x:c r="T8" s="21" t="str"/>
      <x:c r="U8" s="21" t="str"/>
      <x:c r="V8" s="31" t="str"/>
      <x:c r="W8" s="21" t="str"/>
      <x:c r="X8" s="21" t="str">
        <x:v>未复测</x:v>
      </x:c>
      <x:c r="Y8" s="21" t="str"/>
    </x:row>
    <x:row r="9" ht="52" customHeight="1">
      <x:c r="A9" s="27" t="str">
        <x:v>UX-005</x:v>
      </x:c>
      <x:c r="B9" s="23" t="str">
        <x:v>01 核心体验与产品承诺</x:v>
      </x:c>
      <x:c r="C9" s="23" t="str">
        <x:v>定位与情感目标</x:v>
      </x:c>
      <x:c r="D9" s="23" t="str">
        <x:v>全局</x:v>
      </x:c>
      <x:c r="E9" s="21" t="str">
        <x:v>零失败不等于无目标</x:v>
      </x:c>
      <x:c r="F9" s="21" t="str">
        <x:v>玩家不受惩罚，但始终知道当前目标、进度和下一步</x:v>
      </x:c>
      <x:c r="G9" s="21" t="str">
        <x:v>故意停滞、误操作与失败路径测试</x:v>
      </x:c>
      <x:c r="H9" s="21" t="str">
        <x:v>理解/操作</x:v>
      </x:c>
      <x:c r="I9" s="21" t="str">
        <x:v>全流程</x:v>
      </x:c>
      <x:c r="J9" s="21" t="str">
        <x:v>全平台</x:v>
      </x:c>
      <x:c r="K9" s="21" t="str"/>
      <x:c r="L9" s="29" t="str">
        <x:v>未检查</x:v>
      </x:c>
      <x:c r="M9" s="29" t="str">
        <x:v>未确认</x:v>
      </x:c>
      <x:c r="N9" s="29" t="str">
        <x:v>未确认</x:v>
      </x:c>
      <x:c r="O9" s="29" t="str"/>
      <x:c r="P9" s="29" t="str">
        <x:f>IF(OR(L9="未检查",L9="通过",L9="不适用"),"",IFERROR(VLOOKUP(M9,'口径与下拉'!$A$9:$B$14,2,FALSE),0)+IFERROR(VLOOKUP(N9,'口径与下拉'!$D$9:$E$14,2,FALSE),0)+O9)</x:f>
      </x:c>
      <x:c r="Q9" s="29" t="str"/>
      <x:c r="R9" s="29" t="str">
        <x:f>IF(P9="","",IF(P9&gt;=13,"P0",IF(P9&gt;=10,"P1",IF(P9&gt;=7,"P2","P3"))))</x:f>
      </x:c>
      <x:c r="S9" s="21" t="str"/>
      <x:c r="T9" s="21" t="str"/>
      <x:c r="U9" s="21" t="str"/>
      <x:c r="V9" s="31" t="str"/>
      <x:c r="W9" s="21" t="str"/>
      <x:c r="X9" s="21" t="str">
        <x:v>未复测</x:v>
      </x:c>
      <x:c r="Y9" s="21" t="str"/>
    </x:row>
    <x:row r="10" ht="52" customHeight="1">
      <x:c r="A10" s="27" t="str">
        <x:v>UX-006</x:v>
      </x:c>
      <x:c r="B10" s="23" t="str">
        <x:v>01 核心体验与产品承诺</x:v>
      </x:c>
      <x:c r="C10" s="23" t="str">
        <x:v>定位与情感目标</x:v>
      </x:c>
      <x:c r="D10" s="23" t="str">
        <x:v>全局</x:v>
      </x:c>
      <x:c r="E10" s="21" t="str">
        <x:v>15 分钟碎片会话成立</x:v>
      </x:c>
      <x:c r="F10" s="21" t="str">
        <x:v>5–15 分钟内至少完成一次有意义的产出—合并—目标/照料闭环</x:v>
      </x:c>
      <x:c r="G10" s="21" t="str">
        <x:v>计时游玩 3 个新旧档会话</x:v>
      </x:c>
      <x:c r="H10" s="21" t="str">
        <x:v>节奏/留存</x:v>
      </x:c>
      <x:c r="I10" s="21" t="str">
        <x:v>全流程</x:v>
      </x:c>
      <x:c r="J10" s="21" t="str">
        <x:v>全平台</x:v>
      </x:c>
      <x:c r="K10" s="21" t="str"/>
      <x:c r="L10" s="29" t="str">
        <x:v>未检查</x:v>
      </x:c>
      <x:c r="M10" s="29" t="str">
        <x:v>未确认</x:v>
      </x:c>
      <x:c r="N10" s="29" t="str">
        <x:v>未确认</x:v>
      </x:c>
      <x:c r="O10" s="29" t="str"/>
      <x:c r="P10" s="29" t="str">
        <x:f>IF(OR(L10="未检查",L10="通过",L10="不适用"),"",IFERROR(VLOOKUP(M10,'口径与下拉'!$A$9:$B$14,2,FALSE),0)+IFERROR(VLOOKUP(N10,'口径与下拉'!$D$9:$E$14,2,FALSE),0)+O10)</x:f>
      </x:c>
      <x:c r="Q10" s="29" t="str"/>
      <x:c r="R10" s="29" t="str">
        <x:f>IF(P10="","",IF(P10&gt;=13,"P0",IF(P10&gt;=10,"P1",IF(P10&gt;=7,"P2","P3"))))</x:f>
      </x:c>
      <x:c r="S10" s="21" t="str"/>
      <x:c r="T10" s="21" t="str"/>
      <x:c r="U10" s="21" t="str"/>
      <x:c r="V10" s="31" t="str"/>
      <x:c r="W10" s="21" t="str"/>
      <x:c r="X10" s="21" t="str">
        <x:v>未复测</x:v>
      </x:c>
      <x:c r="Y10" s="21" t="str"/>
    </x:row>
    <x:row r="11" ht="52" customHeight="1">
      <x:c r="A11" s="27" t="str">
        <x:v>UX-007</x:v>
      </x:c>
      <x:c r="B11" s="23" t="str">
        <x:v>01 核心体验与产品承诺</x:v>
      </x:c>
      <x:c r="C11" s="23" t="str">
        <x:v>定位与情感目标</x:v>
      </x:c>
      <x:c r="D11" s="23" t="str">
        <x:v>全局</x:v>
      </x:c>
      <x:c r="E11" s="21" t="str">
        <x:v>30 日陪伴是节奏目标而非硬门槛</x:v>
      </x:c>
      <x:c r="F11" s="21" t="str">
        <x:v>连续推进不被自然日强锁，慢玩家也不因缺席受罚</x:v>
      </x:c>
      <x:c r="G11" s="21" t="str">
        <x:v>改时钟/连续推进/间隔回访</x:v>
      </x:c>
      <x:c r="H11" s="21" t="str">
        <x:v>节奏/公平</x:v>
      </x:c>
      <x:c r="I11" s="21" t="str">
        <x:v>全流程</x:v>
      </x:c>
      <x:c r="J11" s="21" t="str">
        <x:v>全平台</x:v>
      </x:c>
      <x:c r="K11" s="21" t="str"/>
      <x:c r="L11" s="29" t="str">
        <x:v>未检查</x:v>
      </x:c>
      <x:c r="M11" s="29" t="str">
        <x:v>未确认</x:v>
      </x:c>
      <x:c r="N11" s="29" t="str">
        <x:v>未确认</x:v>
      </x:c>
      <x:c r="O11" s="29" t="str"/>
      <x:c r="P11" s="29" t="str">
        <x:f>IF(OR(L11="未检查",L11="通过",L11="不适用"),"",IFERROR(VLOOKUP(M11,'口径与下拉'!$A$9:$B$14,2,FALSE),0)+IFERROR(VLOOKUP(N11,'口径与下拉'!$D$9:$E$14,2,FALSE),0)+O11)</x:f>
      </x:c>
      <x:c r="Q11" s="29" t="str"/>
      <x:c r="R11" s="29" t="str">
        <x:f>IF(P11="","",IF(P11&gt;=13,"P0",IF(P11&gt;=10,"P1",IF(P11&gt;=7,"P2","P3"))))</x:f>
      </x:c>
      <x:c r="S11" s="21" t="str"/>
      <x:c r="T11" s="21" t="str"/>
      <x:c r="U11" s="21" t="str"/>
      <x:c r="V11" s="31" t="str"/>
      <x:c r="W11" s="21" t="str"/>
      <x:c r="X11" s="21" t="str">
        <x:v>未复测</x:v>
      </x:c>
      <x:c r="Y11" s="21" t="str"/>
    </x:row>
    <x:row r="12" ht="52" customHeight="1">
      <x:c r="A12" s="27" t="str">
        <x:v>UX-008</x:v>
      </x:c>
      <x:c r="B12" s="23" t="str">
        <x:v>01 核心体验与产品承诺</x:v>
      </x:c>
      <x:c r="C12" s="23" t="str">
        <x:v>定位与情感目标</x:v>
      </x:c>
      <x:c r="D12" s="23" t="str">
        <x:v>全局</x:v>
      </x:c>
      <x:c r="E12" s="21" t="str">
        <x:v>内容规模表述真实</x:v>
      </x:c>
      <x:c r="F12" s="21" t="str">
        <x:v>公开界面与实际数据一致：12 兽、12 卷、14 区、60 形态</x:v>
      </x:c>
      <x:c r="G12" s="21" t="str">
        <x:v>数据配置与前台逐项对照</x:v>
      </x:c>
      <x:c r="H12" s="21" t="str">
        <x:v>信任/内容</x:v>
      </x:c>
      <x:c r="I12" s="21" t="str">
        <x:v>全流程</x:v>
      </x:c>
      <x:c r="J12" s="21" t="str">
        <x:v>全平台</x:v>
      </x:c>
      <x:c r="K12" s="21" t="str"/>
      <x:c r="L12" s="29" t="str">
        <x:v>未检查</x:v>
      </x:c>
      <x:c r="M12" s="29" t="str">
        <x:v>未确认</x:v>
      </x:c>
      <x:c r="N12" s="29" t="str">
        <x:v>未确认</x:v>
      </x:c>
      <x:c r="O12" s="29" t="str"/>
      <x:c r="P12" s="29" t="str">
        <x:f>IF(OR(L12="未检查",L12="通过",L12="不适用"),"",IFERROR(VLOOKUP(M12,'口径与下拉'!$A$9:$B$14,2,FALSE),0)+IFERROR(VLOOKUP(N12,'口径与下拉'!$D$9:$E$14,2,FALSE),0)+O12)</x:f>
      </x:c>
      <x:c r="Q12" s="29" t="str"/>
      <x:c r="R12" s="29" t="str">
        <x:f>IF(P12="","",IF(P12&gt;=13,"P0",IF(P12&gt;=10,"P1",IF(P12&gt;=7,"P2","P3"))))</x:f>
      </x:c>
      <x:c r="S12" s="21" t="str"/>
      <x:c r="T12" s="21" t="str"/>
      <x:c r="U12" s="21" t="str"/>
      <x:c r="V12" s="31" t="str"/>
      <x:c r="W12" s="21" t="str"/>
      <x:c r="X12" s="21" t="str">
        <x:v>未复测</x:v>
      </x:c>
      <x:c r="Y12" s="21" t="str"/>
    </x:row>
    <x:row r="13" ht="52" customHeight="1">
      <x:c r="A13" s="27" t="str">
        <x:v>UX-009</x:v>
      </x:c>
      <x:c r="B13" s="23" t="str">
        <x:v>01 核心体验与产品承诺</x:v>
      </x:c>
      <x:c r="C13" s="23" t="str">
        <x:v>定位与情感目标</x:v>
      </x:c>
      <x:c r="D13" s="23" t="str">
        <x:v>全局</x:v>
      </x:c>
      <x:c r="E13" s="21" t="str">
        <x:v>核心循环首尾闭合</x:v>
      </x:c>
      <x:c r="F13" s="21" t="str">
        <x:v>合并、修缮、故事、照料、蜕变、岗位与下一卷之间无断链</x:v>
      </x:c>
      <x:c r="G13" s="21" t="str">
        <x:v>从新档推进一个完整卷章</x:v>
      </x:c>
      <x:c r="H13" s="21" t="str">
        <x:v>核心循环</x:v>
      </x:c>
      <x:c r="I13" s="21" t="str">
        <x:v>全流程</x:v>
      </x:c>
      <x:c r="J13" s="21" t="str">
        <x:v>全平台</x:v>
      </x:c>
      <x:c r="K13" s="21" t="str"/>
      <x:c r="L13" s="29" t="str">
        <x:v>未检查</x:v>
      </x:c>
      <x:c r="M13" s="29" t="str">
        <x:v>未确认</x:v>
      </x:c>
      <x:c r="N13" s="29" t="str">
        <x:v>未确认</x:v>
      </x:c>
      <x:c r="O13" s="29" t="str"/>
      <x:c r="P13" s="29" t="str">
        <x:f>IF(OR(L13="未检查",L13="通过",L13="不适用"),"",IFERROR(VLOOKUP(M13,'口径与下拉'!$A$9:$B$14,2,FALSE),0)+IFERROR(VLOOKUP(N13,'口径与下拉'!$D$9:$E$14,2,FALSE),0)+O13)</x:f>
      </x:c>
      <x:c r="Q13" s="29" t="str"/>
      <x:c r="R13" s="29" t="str">
        <x:f>IF(P13="","",IF(P13&gt;=13,"P0",IF(P13&gt;=10,"P1",IF(P13&gt;=7,"P2","P3"))))</x:f>
      </x:c>
      <x:c r="S13" s="21" t="str"/>
      <x:c r="T13" s="21" t="str"/>
      <x:c r="U13" s="21" t="str"/>
      <x:c r="V13" s="31" t="str"/>
      <x:c r="W13" s="21" t="str"/>
      <x:c r="X13" s="21" t="str">
        <x:v>未复测</x:v>
      </x:c>
      <x:c r="Y13" s="21" t="str"/>
    </x:row>
    <x:row r="14" ht="52" customHeight="1">
      <x:c r="A14" s="27" t="str">
        <x:v>UX-010</x:v>
      </x:c>
      <x:c r="B14" s="23" t="str">
        <x:v>01 核心体验与产品承诺</x:v>
      </x:c>
      <x:c r="C14" s="23" t="str">
        <x:v>定位与情感目标</x:v>
      </x:c>
      <x:c r="D14" s="23" t="str">
        <x:v>全局</x:v>
      </x:c>
      <x:c r="E14" s="21" t="str">
        <x:v>玩家自主感成立</x:v>
      </x:c>
      <x:c r="F14" s="21" t="str">
        <x:v>目标明确但不强迫单一路径；可查看来源、切换任务、安排节奏</x:v>
      </x:c>
      <x:c r="G14" s="21" t="str">
        <x:v>路径选择观察</x:v>
      </x:c>
      <x:c r="H14" s="21" t="str">
        <x:v>策略/自主</x:v>
      </x:c>
      <x:c r="I14" s="21" t="str">
        <x:v>全流程</x:v>
      </x:c>
      <x:c r="J14" s="21" t="str">
        <x:v>全平台</x:v>
      </x:c>
      <x:c r="K14" s="21" t="str"/>
      <x:c r="L14" s="29" t="str">
        <x:v>未检查</x:v>
      </x:c>
      <x:c r="M14" s="29" t="str">
        <x:v>未确认</x:v>
      </x:c>
      <x:c r="N14" s="29" t="str">
        <x:v>未确认</x:v>
      </x:c>
      <x:c r="O14" s="29" t="str"/>
      <x:c r="P14" s="29" t="str">
        <x:f>IF(OR(L14="未检查",L14="通过",L14="不适用"),"",IFERROR(VLOOKUP(M14,'口径与下拉'!$A$9:$B$14,2,FALSE),0)+IFERROR(VLOOKUP(N14,'口径与下拉'!$D$9:$E$14,2,FALSE),0)+O14)</x:f>
      </x:c>
      <x:c r="Q14" s="29" t="str"/>
      <x:c r="R14" s="29" t="str">
        <x:f>IF(P14="","",IF(P14&gt;=13,"P0",IF(P14&gt;=10,"P1",IF(P14&gt;=7,"P2","P3"))))</x:f>
      </x:c>
      <x:c r="S14" s="21" t="str"/>
      <x:c r="T14" s="21" t="str"/>
      <x:c r="U14" s="21" t="str"/>
      <x:c r="V14" s="31" t="str"/>
      <x:c r="W14" s="21" t="str"/>
      <x:c r="X14" s="21" t="str">
        <x:v>未复测</x:v>
      </x:c>
      <x:c r="Y14" s="21" t="str"/>
    </x:row>
    <x:row r="15" ht="52" customHeight="1">
      <x:c r="A15" s="27" t="str">
        <x:v>UX-011</x:v>
      </x:c>
      <x:c r="B15" s="23" t="str">
        <x:v>02 首次启动与新手教学</x:v>
      </x:c>
      <x:c r="C15" s="23" t="str">
        <x:v>首局旅程</x:v>
      </x:c>
      <x:c r="D15" s="23" t="str">
        <x:v>启动页→庭院→灵阵→山门→嬉游亭</x:v>
      </x:c>
      <x:c r="E15" s="21" t="str">
        <x:v>冷启动有明确进度与品牌反馈</x:v>
      </x:c>
      <x:c r="F15" s="21" t="str">
        <x:v>加载超过 1 秒时有真实进度/阶段提示，无白屏或假死</x:v>
      </x:c>
      <x:c r="G15" s="21" t="str">
        <x:v>清缓存后弱网冷启动</x:v>
      </x:c>
      <x:c r="H15" s="21" t="str">
        <x:v>等待/信任</x:v>
      </x:c>
      <x:c r="I15" s="21" t="str">
        <x:v>首次启动</x:v>
      </x:c>
      <x:c r="J15" s="21" t="str">
        <x:v>弱网/离线</x:v>
      </x:c>
      <x:c r="K15" s="21" t="str"/>
      <x:c r="L15" s="29" t="str">
        <x:v>未检查</x:v>
      </x:c>
      <x:c r="M15" s="29" t="str">
        <x:v>未确认</x:v>
      </x:c>
      <x:c r="N15" s="29" t="str">
        <x:v>未确认</x:v>
      </x:c>
      <x:c r="O15" s="29" t="str"/>
      <x:c r="P15" s="29" t="str">
        <x:f>IF(OR(L15="未检查",L15="通过",L15="不适用"),"",IFERROR(VLOOKUP(M15,'口径与下拉'!$A$9:$B$14,2,FALSE),0)+IFERROR(VLOOKUP(N15,'口径与下拉'!$D$9:$E$14,2,FALSE),0)+O15)</x:f>
      </x:c>
      <x:c r="Q15" s="29" t="str"/>
      <x:c r="R15" s="29" t="str">
        <x:f>IF(P15="","",IF(P15&gt;=13,"P0",IF(P15&gt;=10,"P1",IF(P15&gt;=7,"P2","P3"))))</x:f>
      </x:c>
      <x:c r="S15" s="21" t="str"/>
      <x:c r="T15" s="21" t="str"/>
      <x:c r="U15" s="21" t="str"/>
      <x:c r="V15" s="31" t="str"/>
      <x:c r="W15" s="21" t="str"/>
      <x:c r="X15" s="21" t="str">
        <x:v>未复测</x:v>
      </x:c>
      <x:c r="Y15" s="21" t="str"/>
    </x:row>
    <x:row r="16" ht="52" customHeight="1">
      <x:c r="A16" s="27" t="str">
        <x:v>UX-012</x:v>
      </x:c>
      <x:c r="B16" s="23" t="str">
        <x:v>02 首次启动与新手教学</x:v>
      </x:c>
      <x:c r="C16" s="23" t="str">
        <x:v>首局旅程</x:v>
      </x:c>
      <x:c r="D16" s="23" t="str">
        <x:v>启动页→庭院→灵阵→山门→嬉游亭</x:v>
      </x:c>
      <x:c r="E16" s="21" t="str">
        <x:v>新游戏与继续旅程不误导</x:v>
      </x:c>
      <x:c r="F16" s="21" t="str">
        <x:v>有档时默认保护旧档；新开档需要确认且说明影响</x:v>
      </x:c>
      <x:c r="G16" s="21" t="str">
        <x:v>有档/无档/损坏档分别启动</x:v>
      </x:c>
      <x:c r="H16" s="21" t="str">
        <x:v>数据安全</x:v>
      </x:c>
      <x:c r="I16" s="21" t="str">
        <x:v>首次启动</x:v>
      </x:c>
      <x:c r="J16" s="21" t="str">
        <x:v>全平台</x:v>
      </x:c>
      <x:c r="K16" s="21" t="str"/>
      <x:c r="L16" s="29" t="str">
        <x:v>未检查</x:v>
      </x:c>
      <x:c r="M16" s="29" t="str">
        <x:v>未确认</x:v>
      </x:c>
      <x:c r="N16" s="29" t="str">
        <x:v>未确认</x:v>
      </x:c>
      <x:c r="O16" s="29" t="str"/>
      <x:c r="P16" s="29" t="str">
        <x:f>IF(OR(L16="未检查",L16="通过",L16="不适用"),"",IFERROR(VLOOKUP(M16,'口径与下拉'!$A$9:$B$14,2,FALSE),0)+IFERROR(VLOOKUP(N16,'口径与下拉'!$D$9:$E$14,2,FALSE),0)+O16)</x:f>
      </x:c>
      <x:c r="Q16" s="29" t="str"/>
      <x:c r="R16" s="29" t="str">
        <x:f>IF(P16="","",IF(P16&gt;=13,"P0",IF(P16&gt;=10,"P1",IF(P16&gt;=7,"P2","P3"))))</x:f>
      </x:c>
      <x:c r="S16" s="21" t="str"/>
      <x:c r="T16" s="21" t="str"/>
      <x:c r="U16" s="21" t="str"/>
      <x:c r="V16" s="31" t="str"/>
      <x:c r="W16" s="21" t="str"/>
      <x:c r="X16" s="21" t="str">
        <x:v>未复测</x:v>
      </x:c>
      <x:c r="Y16" s="21" t="str"/>
    </x:row>
    <x:row r="17" ht="52" customHeight="1">
      <x:c r="A17" s="27" t="str">
        <x:v>UX-013</x:v>
      </x:c>
      <x:c r="B17" s="23" t="str">
        <x:v>02 首次启动与新手教学</x:v>
      </x:c>
      <x:c r="C17" s="23" t="str">
        <x:v>首局旅程</x:v>
      </x:c>
      <x:c r="D17" s="23" t="str">
        <x:v>启动页→庭院→灵阵→山门→嬉游亭</x:v>
      </x:c>
      <x:c r="E17" s="21" t="str">
        <x:v>欢迎画面只出现一次且可恢复</x:v>
      </x:c>
      <x:c r="F17" s="21" t="str">
        <x:v>新档仅一个欢迎画面；中断重载后不会重复发奖或跳步</x:v>
      </x:c>
      <x:c r="G17" s="21" t="str">
        <x:v>各教学节点强退重进</x:v>
      </x:c>
      <x:c r="H17" s="21" t="str">
        <x:v>引导/数据</x:v>
      </x:c>
      <x:c r="I17" s="21" t="str">
        <x:v>全流程</x:v>
      </x:c>
      <x:c r="J17" s="21" t="str">
        <x:v>全平台</x:v>
      </x:c>
      <x:c r="K17" s="21" t="str"/>
      <x:c r="L17" s="29" t="str">
        <x:v>未检查</x:v>
      </x:c>
      <x:c r="M17" s="29" t="str">
        <x:v>未确认</x:v>
      </x:c>
      <x:c r="N17" s="29" t="str">
        <x:v>未确认</x:v>
      </x:c>
      <x:c r="O17" s="29" t="str"/>
      <x:c r="P17" s="29" t="str">
        <x:f>IF(OR(L17="未检查",L17="通过",L17="不适用"),"",IFERROR(VLOOKUP(M17,'口径与下拉'!$A$9:$B$14,2,FALSE),0)+IFERROR(VLOOKUP(N17,'口径与下拉'!$D$9:$E$14,2,FALSE),0)+O17)</x:f>
      </x:c>
      <x:c r="Q17" s="29" t="str"/>
      <x:c r="R17" s="29" t="str">
        <x:f>IF(P17="","",IF(P17&gt;=13,"P0",IF(P17&gt;=10,"P1",IF(P17&gt;=7,"P2","P3"))))</x:f>
      </x:c>
      <x:c r="S17" s="21" t="str"/>
      <x:c r="T17" s="21" t="str"/>
      <x:c r="U17" s="21" t="str"/>
      <x:c r="V17" s="31" t="str"/>
      <x:c r="W17" s="21" t="str"/>
      <x:c r="X17" s="21" t="str">
        <x:v>未复测</x:v>
      </x:c>
      <x:c r="Y17" s="21" t="str"/>
    </x:row>
    <x:row r="18" ht="52" customHeight="1">
      <x:c r="A18" s="27" t="str">
        <x:v>UX-014</x:v>
      </x:c>
      <x:c r="B18" s="23" t="str">
        <x:v>02 首次启动与新手教学</x:v>
      </x:c>
      <x:c r="C18" s="23" t="str">
        <x:v>首局旅程</x:v>
      </x:c>
      <x:c r="D18" s="23" t="str">
        <x:v>启动页→庭院→灵阵→山门→嬉游亭</x:v>
      </x:c>
      <x:c r="E18" s="21" t="str">
        <x:v>首个当前目标立即可见</x:v>
      </x:c>
      <x:c r="F18" s="21" t="str">
        <x:v>关闭欢迎画面后无需寻找即可看到唯一下一步</x:v>
      </x:c>
      <x:c r="G18" s="21" t="str">
        <x:v>新玩家眼动与点击观察</x:v>
      </x:c>
      <x:c r="H18" s="21" t="str">
        <x:v>理解/导航</x:v>
      </x:c>
      <x:c r="I18" s="21" t="str">
        <x:v>首局引导</x:v>
      </x:c>
      <x:c r="J18" s="21" t="str">
        <x:v>全平台</x:v>
      </x:c>
      <x:c r="K18" s="21" t="str"/>
      <x:c r="L18" s="29" t="str">
        <x:v>未检查</x:v>
      </x:c>
      <x:c r="M18" s="29" t="str">
        <x:v>未确认</x:v>
      </x:c>
      <x:c r="N18" s="29" t="str">
        <x:v>未确认</x:v>
      </x:c>
      <x:c r="O18" s="29" t="str"/>
      <x:c r="P18" s="29" t="str">
        <x:f>IF(OR(L18="未检查",L18="通过",L18="不适用"),"",IFERROR(VLOOKUP(M18,'口径与下拉'!$A$9:$B$14,2,FALSE),0)+IFERROR(VLOOKUP(N18,'口径与下拉'!$D$9:$E$14,2,FALSE),0)+O18)</x:f>
      </x:c>
      <x:c r="Q18" s="29" t="str"/>
      <x:c r="R18" s="29" t="str">
        <x:f>IF(P18="","",IF(P18&gt;=13,"P0",IF(P18&gt;=10,"P1",IF(P18&gt;=7,"P2","P3"))))</x:f>
      </x:c>
      <x:c r="S18" s="21" t="str"/>
      <x:c r="T18" s="21" t="str"/>
      <x:c r="U18" s="21" t="str"/>
      <x:c r="V18" s="31" t="str"/>
      <x:c r="W18" s="21" t="str"/>
      <x:c r="X18" s="21" t="str">
        <x:v>未复测</x:v>
      </x:c>
      <x:c r="Y18" s="21" t="str"/>
    </x:row>
    <x:row r="19" ht="52" customHeight="1">
      <x:c r="A19" s="27" t="str">
        <x:v>UX-015</x:v>
      </x:c>
      <x:c r="B19" s="23" t="str">
        <x:v>02 首次启动与新手教学</x:v>
      </x:c>
      <x:c r="C19" s="23" t="str">
        <x:v>首局旅程</x:v>
      </x:c>
      <x:c r="D19" s="23" t="str">
        <x:v>启动页→庭院→灵阵→山门→嬉游亭</x:v>
      </x:c>
      <x:c r="E19" s="21" t="str">
        <x:v>生成教学可亲手完成</x:v>
      </x:c>
      <x:c r="F19" s="21" t="str">
        <x:v>高亮真实生成器；点击一次扣 1 灵力并产生可见物品</x:v>
      </x:c>
      <x:c r="G19" s="21" t="str">
        <x:v>按引导操作并核对资源差值</x:v>
      </x:c>
      <x:c r="H19" s="21" t="str">
        <x:v>学习/资源</x:v>
      </x:c>
      <x:c r="I19" s="21" t="str">
        <x:v>全流程</x:v>
      </x:c>
      <x:c r="J19" s="21" t="str">
        <x:v>全平台</x:v>
      </x:c>
      <x:c r="K19" s="21" t="str"/>
      <x:c r="L19" s="29" t="str">
        <x:v>未检查</x:v>
      </x:c>
      <x:c r="M19" s="29" t="str">
        <x:v>未确认</x:v>
      </x:c>
      <x:c r="N19" s="29" t="str">
        <x:v>未确认</x:v>
      </x:c>
      <x:c r="O19" s="29" t="str"/>
      <x:c r="P19" s="29" t="str">
        <x:f>IF(OR(L19="未检查",L19="通过",L19="不适用"),"",IFERROR(VLOOKUP(M19,'口径与下拉'!$A$9:$B$14,2,FALSE),0)+IFERROR(VLOOKUP(N19,'口径与下拉'!$D$9:$E$14,2,FALSE),0)+O19)</x:f>
      </x:c>
      <x:c r="Q19" s="29" t="str"/>
      <x:c r="R19" s="29" t="str">
        <x:f>IF(P19="","",IF(P19&gt;=13,"P0",IF(P19&gt;=10,"P1",IF(P19&gt;=7,"P2","P3"))))</x:f>
      </x:c>
      <x:c r="S19" s="21" t="str"/>
      <x:c r="T19" s="21" t="str"/>
      <x:c r="U19" s="21" t="str"/>
      <x:c r="V19" s="31" t="str"/>
      <x:c r="W19" s="21" t="str"/>
      <x:c r="X19" s="21" t="str">
        <x:v>未复测</x:v>
      </x:c>
      <x:c r="Y19" s="21" t="str"/>
    </x:row>
    <x:row r="20" ht="52" customHeight="1">
      <x:c r="A20" s="27" t="str">
        <x:v>UX-016</x:v>
      </x:c>
      <x:c r="B20" s="23" t="str">
        <x:v>02 首次启动与新手教学</x:v>
      </x:c>
      <x:c r="C20" s="23" t="str">
        <x:v>首局旅程</x:v>
      </x:c>
      <x:c r="D20" s="23" t="str">
        <x:v>启动页→庭院→灵阵→山门→嬉游亭</x:v>
      </x:c>
      <x:c r="E20" s="21" t="str">
        <x:v>合并教学解释目标与结果</x:v>
      </x:c>
      <x:c r="F20" s="21" t="str">
        <x:v>只允许正确同族同阶合并；升级前后、腾格和反馈清晰</x:v>
      </x:c>
      <x:c r="G20" s="21" t="str">
        <x:v>正确/错误拖拽对比</x:v>
      </x:c>
      <x:c r="H20" s="21" t="str">
        <x:v>学习/手感</x:v>
      </x:c>
      <x:c r="I20" s="21" t="str">
        <x:v>全流程</x:v>
      </x:c>
      <x:c r="J20" s="21" t="str">
        <x:v>全平台</x:v>
      </x:c>
      <x:c r="K20" s="21" t="str"/>
      <x:c r="L20" s="29" t="str">
        <x:v>未检查</x:v>
      </x:c>
      <x:c r="M20" s="29" t="str">
        <x:v>未确认</x:v>
      </x:c>
      <x:c r="N20" s="29" t="str">
        <x:v>未确认</x:v>
      </x:c>
      <x:c r="O20" s="29" t="str"/>
      <x:c r="P20" s="29" t="str">
        <x:f>IF(OR(L20="未检查",L20="通过",L20="不适用"),"",IFERROR(VLOOKUP(M20,'口径与下拉'!$A$9:$B$14,2,FALSE),0)+IFERROR(VLOOKUP(N20,'口径与下拉'!$D$9:$E$14,2,FALSE),0)+O20)</x:f>
      </x:c>
      <x:c r="Q20" s="29" t="str"/>
      <x:c r="R20" s="29" t="str">
        <x:f>IF(P20="","",IF(P20&gt;=13,"P0",IF(P20&gt;=10,"P1",IF(P20&gt;=7,"P2","P3"))))</x:f>
      </x:c>
      <x:c r="S20" s="21" t="str"/>
      <x:c r="T20" s="21" t="str"/>
      <x:c r="U20" s="21" t="str"/>
      <x:c r="V20" s="31" t="str"/>
      <x:c r="W20" s="21" t="str"/>
      <x:c r="X20" s="21" t="str">
        <x:v>未复测</x:v>
      </x:c>
      <x:c r="Y20" s="21" t="str"/>
    </x:row>
    <x:row r="21" ht="52" customHeight="1">
      <x:c r="A21" s="27" t="str">
        <x:v>UX-017</x:v>
      </x:c>
      <x:c r="B21" s="23" t="str">
        <x:v>02 首次启动与新手教学</x:v>
      </x:c>
      <x:c r="C21" s="23" t="str">
        <x:v>首局旅程</x:v>
      </x:c>
      <x:c r="D21" s="23" t="str">
        <x:v>启动页→庭院→灵阵→山门→嬉游亭</x:v>
      </x:c>
      <x:c r="E21" s="21" t="str">
        <x:v>山门首次修缮教学无断路</x:v>
      </x:c>
      <x:c r="F21" s="21" t="str">
        <x:v>材料不足可查来源，满足后可修缮且目标自动更新</x:v>
      </x:c>
      <x:c r="G21" s="21" t="str">
        <x:v>从缺料状态走完整路径</x:v>
      </x:c>
      <x:c r="H21" s="21" t="str">
        <x:v>学习/导航</x:v>
      </x:c>
      <x:c r="I21" s="21" t="str">
        <x:v>全流程</x:v>
      </x:c>
      <x:c r="J21" s="21" t="str">
        <x:v>全平台</x:v>
      </x:c>
      <x:c r="K21" s="21" t="str"/>
      <x:c r="L21" s="29" t="str">
        <x:v>未检查</x:v>
      </x:c>
      <x:c r="M21" s="29" t="str">
        <x:v>未确认</x:v>
      </x:c>
      <x:c r="N21" s="29" t="str">
        <x:v>未确认</x:v>
      </x:c>
      <x:c r="O21" s="29" t="str"/>
      <x:c r="P21" s="29" t="str">
        <x:f>IF(OR(L21="未检查",L21="通过",L21="不适用"),"",IFERROR(VLOOKUP(M21,'口径与下拉'!$A$9:$B$14,2,FALSE),0)+IFERROR(VLOOKUP(N21,'口径与下拉'!$D$9:$E$14,2,FALSE),0)+O21)</x:f>
      </x:c>
      <x:c r="Q21" s="29" t="str"/>
      <x:c r="R21" s="29" t="str">
        <x:f>IF(P21="","",IF(P21&gt;=13,"P0",IF(P21&gt;=10,"P1",IF(P21&gt;=7,"P2","P3"))))</x:f>
      </x:c>
      <x:c r="S21" s="21" t="str"/>
      <x:c r="T21" s="21" t="str"/>
      <x:c r="U21" s="21" t="str"/>
      <x:c r="V21" s="31" t="str"/>
      <x:c r="W21" s="21" t="str"/>
      <x:c r="X21" s="21" t="str">
        <x:v>未复测</x:v>
      </x:c>
      <x:c r="Y21" s="21" t="str"/>
    </x:row>
    <x:row r="22" ht="52" customHeight="1">
      <x:c r="A22" s="27" t="str">
        <x:v>UX-018</x:v>
      </x:c>
      <x:c r="B22" s="23" t="str">
        <x:v>02 首次启动与新手教学</x:v>
      </x:c>
      <x:c r="C22" s="23" t="str">
        <x:v>首局旅程</x:v>
      </x:c>
      <x:c r="D22" s="23" t="str">
        <x:v>启动页→庭院→灵阵→山门→嬉游亭</x:v>
      </x:c>
      <x:c r="E22" s="21" t="str">
        <x:v>嬉游亭入口可被找到并准确命名</x:v>
      </x:c>
      <x:c r="F22" s="21" t="str">
        <x:v>界面统一使用设施“嬉游亭”、活动“陪玩”、小游戏“玩具塔”</x:v>
      </x:c>
      <x:c r="G22" s="21" t="str">
        <x:v>逐屏术语核对</x:v>
      </x:c>
      <x:c r="H22" s="21" t="str">
        <x:v>理解/品牌</x:v>
      </x:c>
      <x:c r="I22" s="21" t="str">
        <x:v>全流程</x:v>
      </x:c>
      <x:c r="J22" s="21" t="str">
        <x:v>全平台</x:v>
      </x:c>
      <x:c r="K22" s="21" t="str"/>
      <x:c r="L22" s="29" t="str">
        <x:v>未检查</x:v>
      </x:c>
      <x:c r="M22" s="29" t="str">
        <x:v>未确认</x:v>
      </x:c>
      <x:c r="N22" s="29" t="str">
        <x:v>未确认</x:v>
      </x:c>
      <x:c r="O22" s="29" t="str"/>
      <x:c r="P22" s="29" t="str">
        <x:f>IF(OR(L22="未检查",L22="通过",L22="不适用"),"",IFERROR(VLOOKUP(M22,'口径与下拉'!$A$9:$B$14,2,FALSE),0)+IFERROR(VLOOKUP(N22,'口径与下拉'!$D$9:$E$14,2,FALSE),0)+O22)</x:f>
      </x:c>
      <x:c r="Q22" s="29" t="str"/>
      <x:c r="R22" s="29" t="str">
        <x:f>IF(P22="","",IF(P22&gt;=13,"P0",IF(P22&gt;=10,"P1",IF(P22&gt;=7,"P2","P3"))))</x:f>
      </x:c>
      <x:c r="S22" s="21" t="str"/>
      <x:c r="T22" s="21" t="str"/>
      <x:c r="U22" s="21" t="str"/>
      <x:c r="V22" s="31" t="str"/>
      <x:c r="W22" s="21" t="str"/>
      <x:c r="X22" s="21" t="str">
        <x:v>未复测</x:v>
      </x:c>
      <x:c r="Y22" s="21" t="str"/>
    </x:row>
    <x:row r="23" ht="52" customHeight="1">
      <x:c r="A23" s="27" t="str">
        <x:v>UX-019</x:v>
      </x:c>
      <x:c r="B23" s="23" t="str">
        <x:v>02 首次启动与新手教学</x:v>
      </x:c>
      <x:c r="C23" s="23" t="str">
        <x:v>首局旅程</x:v>
      </x:c>
      <x:c r="D23" s="23" t="str">
        <x:v>启动页→庭院→灵阵→山门→嬉游亭</x:v>
      </x:c>
      <x:c r="E23" s="21" t="str">
        <x:v>玩具塔教学完成两枚 T1→T2</x:v>
      </x:c>
      <x:c r="F23" s="21" t="str">
        <x:v>玩家亲手完成有效局、获得两枚 T1 并合成 T2；奖励不重复</x:v>
      </x:c>
      <x:c r="G23" s="21" t="str">
        <x:v>完整执行并核对背包/棋盘</x:v>
      </x:c>
      <x:c r="H23" s="21" t="str">
        <x:v>学习/奖励</x:v>
      </x:c>
      <x:c r="I23" s="21" t="str">
        <x:v>全流程</x:v>
      </x:c>
      <x:c r="J23" s="21" t="str">
        <x:v>全平台</x:v>
      </x:c>
      <x:c r="K23" s="21" t="str"/>
      <x:c r="L23" s="29" t="str">
        <x:v>未检查</x:v>
      </x:c>
      <x:c r="M23" s="29" t="str">
        <x:v>未确认</x:v>
      </x:c>
      <x:c r="N23" s="29" t="str">
        <x:v>未确认</x:v>
      </x:c>
      <x:c r="O23" s="29" t="str"/>
      <x:c r="P23" s="29" t="str">
        <x:f>IF(OR(L23="未检查",L23="通过",L23="不适用"),"",IFERROR(VLOOKUP(M23,'口径与下拉'!$A$9:$B$14,2,FALSE),0)+IFERROR(VLOOKUP(N23,'口径与下拉'!$D$9:$E$14,2,FALSE),0)+O23)</x:f>
      </x:c>
      <x:c r="Q23" s="29" t="str"/>
      <x:c r="R23" s="29" t="str">
        <x:f>IF(P23="","",IF(P23&gt;=13,"P0",IF(P23&gt;=10,"P1",IF(P23&gt;=7,"P2","P3"))))</x:f>
      </x:c>
      <x:c r="S23" s="21" t="str"/>
      <x:c r="T23" s="21" t="str"/>
      <x:c r="U23" s="21" t="str"/>
      <x:c r="V23" s="31" t="str"/>
      <x:c r="W23" s="21" t="str"/>
      <x:c r="X23" s="21" t="str">
        <x:v>未复测</x:v>
      </x:c>
      <x:c r="Y23" s="21" t="str"/>
    </x:row>
    <x:row r="24" ht="52" customHeight="1">
      <x:c r="A24" s="27" t="str">
        <x:v>UX-020</x:v>
      </x:c>
      <x:c r="B24" s="23" t="str">
        <x:v>02 首次启动与新手教学</x:v>
      </x:c>
      <x:c r="C24" s="23" t="str">
        <x:v>首局旅程</x:v>
      </x:c>
      <x:c r="D24" s="23" t="str">
        <x:v>启动页→庭院→灵阵→山门→嬉游亭</x:v>
      </x:c>
      <x:c r="E24" s="21" t="str">
        <x:v>穷奇获得节点有强反馈</x:v>
      </x:c>
      <x:c r="F24" s="21" t="str">
        <x:v>山门首修后获得穷奇；角色、文案、进度和下一步同步</x:v>
      </x:c>
      <x:c r="G24" s="21" t="str">
        <x:v>首卷节点回归</x:v>
      </x:c>
      <x:c r="H24" s="21" t="str">
        <x:v>情绪/成长</x:v>
      </x:c>
      <x:c r="I24" s="21" t="str">
        <x:v>全流程</x:v>
      </x:c>
      <x:c r="J24" s="21" t="str">
        <x:v>全平台</x:v>
      </x:c>
      <x:c r="K24" s="21" t="str"/>
      <x:c r="L24" s="29" t="str">
        <x:v>未检查</x:v>
      </x:c>
      <x:c r="M24" s="29" t="str">
        <x:v>未确认</x:v>
      </x:c>
      <x:c r="N24" s="29" t="str">
        <x:v>未确认</x:v>
      </x:c>
      <x:c r="O24" s="29" t="str"/>
      <x:c r="P24" s="29" t="str">
        <x:f>IF(OR(L24="未检查",L24="通过",L24="不适用"),"",IFERROR(VLOOKUP(M24,'口径与下拉'!$A$9:$B$14,2,FALSE),0)+IFERROR(VLOOKUP(N24,'口径与下拉'!$D$9:$E$14,2,FALSE),0)+O24)</x:f>
      </x:c>
      <x:c r="Q24" s="29" t="str"/>
      <x:c r="R24" s="29" t="str">
        <x:f>IF(P24="","",IF(P24&gt;=13,"P0",IF(P24&gt;=10,"P1",IF(P24&gt;=7,"P2","P3"))))</x:f>
      </x:c>
      <x:c r="S24" s="21" t="str"/>
      <x:c r="T24" s="21" t="str"/>
      <x:c r="U24" s="21" t="str"/>
      <x:c r="V24" s="31" t="str"/>
      <x:c r="W24" s="21" t="str"/>
      <x:c r="X24" s="21" t="str">
        <x:v>未复测</x:v>
      </x:c>
      <x:c r="Y24" s="21" t="str"/>
    </x:row>
    <x:row r="25" ht="52" customHeight="1">
      <x:c r="A25" s="27" t="str">
        <x:v>UX-021</x:v>
      </x:c>
      <x:c r="B25" s="23" t="str">
        <x:v>02 首次启动与新手教学</x:v>
      </x:c>
      <x:c r="C25" s="23" t="str">
        <x:v>首局旅程</x:v>
      </x:c>
      <x:c r="D25" s="23" t="str">
        <x:v>启动页→庭院→灵阵→山门→嬉游亭</x:v>
      </x:c>
      <x:c r="E25" s="21" t="str">
        <x:v>教学遮罩不挡目标控件</x:v>
      </x:c>
      <x:c r="F25" s="21" t="str">
        <x:v>小屏、横屏、字体放大时仍可点击高亮目标与关闭/返回</x:v>
      </x:c>
      <x:c r="G25" s="21" t="str">
        <x:v>5 档视口逐步执行</x:v>
      </x:c>
      <x:c r="H25" s="21" t="str">
        <x:v>操作/适配</x:v>
      </x:c>
      <x:c r="I25" s="21" t="str">
        <x:v>全流程</x:v>
      </x:c>
      <x:c r="J25" s="21" t="str">
        <x:v>全平台</x:v>
      </x:c>
      <x:c r="K25" s="21" t="str"/>
      <x:c r="L25" s="29" t="str">
        <x:v>未检查</x:v>
      </x:c>
      <x:c r="M25" s="29" t="str">
        <x:v>未确认</x:v>
      </x:c>
      <x:c r="N25" s="29" t="str">
        <x:v>未确认</x:v>
      </x:c>
      <x:c r="O25" s="29" t="str"/>
      <x:c r="P25" s="29" t="str">
        <x:f>IF(OR(L25="未检查",L25="通过",L25="不适用"),"",IFERROR(VLOOKUP(M25,'口径与下拉'!$A$9:$B$14,2,FALSE),0)+IFERROR(VLOOKUP(N25,'口径与下拉'!$D$9:$E$14,2,FALSE),0)+O25)</x:f>
      </x:c>
      <x:c r="Q25" s="29" t="str"/>
      <x:c r="R25" s="29" t="str">
        <x:f>IF(P25="","",IF(P25&gt;=13,"P0",IF(P25&gt;=10,"P1",IF(P25&gt;=7,"P2","P3"))))</x:f>
      </x:c>
      <x:c r="S25" s="21" t="str"/>
      <x:c r="T25" s="21" t="str"/>
      <x:c r="U25" s="21" t="str"/>
      <x:c r="V25" s="31" t="str"/>
      <x:c r="W25" s="21" t="str"/>
      <x:c r="X25" s="21" t="str">
        <x:v>未复测</x:v>
      </x:c>
      <x:c r="Y25" s="21" t="str"/>
    </x:row>
    <x:row r="26" ht="52" customHeight="1">
      <x:c r="A26" s="27" t="str">
        <x:v>UX-022</x:v>
      </x:c>
      <x:c r="B26" s="23" t="str">
        <x:v>02 首次启动与新手教学</x:v>
      </x:c>
      <x:c r="C26" s="23" t="str">
        <x:v>首局旅程</x:v>
      </x:c>
      <x:c r="D26" s="23" t="str">
        <x:v>启动页→庭院→灵阵→山门→嬉游亭</x:v>
      </x:c>
      <x:c r="E26" s="21" t="str">
        <x:v>教学可回看且不依赖记忆</x:v>
      </x:c>
      <x:c r="F26" s="21" t="str">
        <x:v>关键规则可从设置、帮助或场景提示重新查看</x:v>
      </x:c>
      <x:c r="G26" s="21" t="str">
        <x:v>跳过/完成后寻找帮助</x:v>
      </x:c>
      <x:c r="H26" s="21" t="str">
        <x:v>学习/可访问性</x:v>
      </x:c>
      <x:c r="I26" s="21" t="str">
        <x:v>全流程</x:v>
      </x:c>
      <x:c r="J26" s="21" t="str">
        <x:v>全平台</x:v>
      </x:c>
      <x:c r="K26" s="21" t="str"/>
      <x:c r="L26" s="29" t="str">
        <x:v>未检查</x:v>
      </x:c>
      <x:c r="M26" s="29" t="str">
        <x:v>未确认</x:v>
      </x:c>
      <x:c r="N26" s="29" t="str">
        <x:v>未确认</x:v>
      </x:c>
      <x:c r="O26" s="29" t="str"/>
      <x:c r="P26" s="29" t="str">
        <x:f>IF(OR(L26="未检查",L26="通过",L26="不适用"),"",IFERROR(VLOOKUP(M26,'口径与下拉'!$A$9:$B$14,2,FALSE),0)+IFERROR(VLOOKUP(N26,'口径与下拉'!$D$9:$E$14,2,FALSE),0)+O26)</x:f>
      </x:c>
      <x:c r="Q26" s="29" t="str"/>
      <x:c r="R26" s="29" t="str">
        <x:f>IF(P26="","",IF(P26&gt;=13,"P0",IF(P26&gt;=10,"P1",IF(P26&gt;=7,"P2","P3"))))</x:f>
      </x:c>
      <x:c r="S26" s="21" t="str"/>
      <x:c r="T26" s="21" t="str"/>
      <x:c r="U26" s="21" t="str"/>
      <x:c r="V26" s="31" t="str"/>
      <x:c r="W26" s="21" t="str"/>
      <x:c r="X26" s="21" t="str">
        <x:v>未复测</x:v>
      </x:c>
      <x:c r="Y26" s="21" t="str"/>
    </x:row>
    <x:row r="27" ht="52" customHeight="1">
      <x:c r="A27" s="27" t="str">
        <x:v>UX-023</x:v>
      </x:c>
      <x:c r="B27" s="23" t="str">
        <x:v>02 首次启动与新手教学</x:v>
      </x:c>
      <x:c r="C27" s="23" t="str">
        <x:v>首局旅程</x:v>
      </x:c>
      <x:c r="D27" s="23" t="str">
        <x:v>启动页→庭院→灵阵→山门→嬉游亭</x:v>
      </x:c>
      <x:c r="E27" s="21" t="str">
        <x:v>重复点击与快速切页不破坏引导</x:v>
      </x:c>
      <x:c r="F27" s="21" t="str">
        <x:v>无重复监听、重复发奖、双弹窗、目标错乱</x:v>
      </x:c>
      <x:c r="G27" s="21" t="str">
        <x:v>连点、双击、切后台、返回</x:v>
      </x:c>
      <x:c r="H27" s="21" t="str">
        <x:v>稳定性/数据</x:v>
      </x:c>
      <x:c r="I27" s="21" t="str">
        <x:v>全流程</x:v>
      </x:c>
      <x:c r="J27" s="21" t="str">
        <x:v>全平台</x:v>
      </x:c>
      <x:c r="K27" s="21" t="str"/>
      <x:c r="L27" s="29" t="str">
        <x:v>未检查</x:v>
      </x:c>
      <x:c r="M27" s="29" t="str">
        <x:v>未确认</x:v>
      </x:c>
      <x:c r="N27" s="29" t="str">
        <x:v>未确认</x:v>
      </x:c>
      <x:c r="O27" s="29" t="str"/>
      <x:c r="P27" s="29" t="str">
        <x:f>IF(OR(L27="未检查",L27="通过",L27="不适用"),"",IFERROR(VLOOKUP(M27,'口径与下拉'!$A$9:$B$14,2,FALSE),0)+IFERROR(VLOOKUP(N27,'口径与下拉'!$D$9:$E$14,2,FALSE),0)+O27)</x:f>
      </x:c>
      <x:c r="Q27" s="29" t="str"/>
      <x:c r="R27" s="29" t="str">
        <x:f>IF(P27="","",IF(P27&gt;=13,"P0",IF(P27&gt;=10,"P1",IF(P27&gt;=7,"P2","P3"))))</x:f>
      </x:c>
      <x:c r="S27" s="21" t="str"/>
      <x:c r="T27" s="21" t="str"/>
      <x:c r="U27" s="21" t="str"/>
      <x:c r="V27" s="31" t="str"/>
      <x:c r="W27" s="21" t="str"/>
      <x:c r="X27" s="21" t="str">
        <x:v>未复测</x:v>
      </x:c>
      <x:c r="Y27" s="21" t="str"/>
    </x:row>
    <x:row r="28" ht="52" customHeight="1">
      <x:c r="A28" s="27" t="str">
        <x:v>UX-024</x:v>
      </x:c>
      <x:c r="B28" s="23" t="str">
        <x:v>02 首次启动与新手教学</x:v>
      </x:c>
      <x:c r="C28" s="23" t="str">
        <x:v>首局旅程</x:v>
      </x:c>
      <x:c r="D28" s="23" t="str">
        <x:v>启动页→庭院→灵阵→山门→嬉游亭</x:v>
      </x:c>
      <x:c r="E28" s="21" t="str">
        <x:v>教学文案对新玩家自洽</x:v>
      </x:c>
      <x:c r="F28" s="21" t="str">
        <x:v>不使用未解释术语，不提前要求尚未解锁功能</x:v>
      </x:c>
      <x:c r="G28" s="21" t="str">
        <x:v>无背景玩家朗读复述</x:v>
      </x:c>
      <x:c r="H28" s="21" t="str">
        <x:v>理解/文案</x:v>
      </x:c>
      <x:c r="I28" s="21" t="str">
        <x:v>全流程</x:v>
      </x:c>
      <x:c r="J28" s="21" t="str">
        <x:v>全平台</x:v>
      </x:c>
      <x:c r="K28" s="21" t="str"/>
      <x:c r="L28" s="29" t="str">
        <x:v>未检查</x:v>
      </x:c>
      <x:c r="M28" s="29" t="str">
        <x:v>未确认</x:v>
      </x:c>
      <x:c r="N28" s="29" t="str">
        <x:v>未确认</x:v>
      </x:c>
      <x:c r="O28" s="29" t="str"/>
      <x:c r="P28" s="29" t="str">
        <x:f>IF(OR(L28="未检查",L28="通过",L28="不适用"),"",IFERROR(VLOOKUP(M28,'口径与下拉'!$A$9:$B$14,2,FALSE),0)+IFERROR(VLOOKUP(N28,'口径与下拉'!$D$9:$E$14,2,FALSE),0)+O28)</x:f>
      </x:c>
      <x:c r="Q28" s="29" t="str"/>
      <x:c r="R28" s="29" t="str">
        <x:f>IF(P28="","",IF(P28&gt;=13,"P0",IF(P28&gt;=10,"P1",IF(P28&gt;=7,"P2","P3"))))</x:f>
      </x:c>
      <x:c r="S28" s="21" t="str"/>
      <x:c r="T28" s="21" t="str"/>
      <x:c r="U28" s="21" t="str"/>
      <x:c r="V28" s="31" t="str"/>
      <x:c r="W28" s="21" t="str"/>
      <x:c r="X28" s="21" t="str">
        <x:v>未复测</x:v>
      </x:c>
      <x:c r="Y28" s="21" t="str"/>
    </x:row>
    <x:row r="29" ht="52" customHeight="1">
      <x:c r="A29" s="27" t="str">
        <x:v>UX-025</x:v>
      </x:c>
      <x:c r="B29" s="23" t="str">
        <x:v>03 信息架构与导航</x:v>
      </x:c>
      <x:c r="C29" s="23" t="str">
        <x:v>路径与返回</x:v>
      </x:c>
      <x:c r="D29" s="23" t="str">
        <x:v>全局导航</x:v>
      </x:c>
      <x:c r="E29" s="21" t="str">
        <x:v>底栏入口与内容匹配</x:v>
      </x:c>
      <x:c r="F29" s="21" t="str">
        <x:v>图标、名称、选中态、页面标题一致，不出现空入口</x:v>
      </x:c>
      <x:c r="G29" s="21" t="str">
        <x:v>逐一打开所有底栏入口</x:v>
      </x:c>
      <x:c r="H29" s="21" t="str">
        <x:v>理解/操作</x:v>
      </x:c>
      <x:c r="I29" s="21" t="str">
        <x:v>全流程</x:v>
      </x:c>
      <x:c r="J29" s="21" t="str">
        <x:v>全平台</x:v>
      </x:c>
      <x:c r="K29" s="21" t="str"/>
      <x:c r="L29" s="29" t="str">
        <x:v>未检查</x:v>
      </x:c>
      <x:c r="M29" s="29" t="str">
        <x:v>未确认</x:v>
      </x:c>
      <x:c r="N29" s="29" t="str">
        <x:v>未确认</x:v>
      </x:c>
      <x:c r="O29" s="29" t="str"/>
      <x:c r="P29" s="29" t="str">
        <x:f>IF(OR(L29="未检查",L29="通过",L29="不适用"),"",IFERROR(VLOOKUP(M29,'口径与下拉'!$A$9:$B$14,2,FALSE),0)+IFERROR(VLOOKUP(N29,'口径与下拉'!$D$9:$E$14,2,FALSE),0)+O29)</x:f>
      </x:c>
      <x:c r="Q29" s="29" t="str"/>
      <x:c r="R29" s="29" t="str">
        <x:f>IF(P29="","",IF(P29&gt;=13,"P0",IF(P29&gt;=10,"P1",IF(P29&gt;=7,"P2","P3"))))</x:f>
      </x:c>
      <x:c r="S29" s="21" t="str"/>
      <x:c r="T29" s="21" t="str"/>
      <x:c r="U29" s="21" t="str"/>
      <x:c r="V29" s="31" t="str"/>
      <x:c r="W29" s="21" t="str"/>
      <x:c r="X29" s="21" t="str">
        <x:v>未复测</x:v>
      </x:c>
      <x:c r="Y29" s="21" t="str"/>
    </x:row>
    <x:row r="30" ht="52" customHeight="1">
      <x:c r="A30" s="27" t="str">
        <x:v>UX-026</x:v>
      </x:c>
      <x:c r="B30" s="23" t="str">
        <x:v>03 信息架构与导航</x:v>
      </x:c>
      <x:c r="C30" s="23" t="str">
        <x:v>路径与返回</x:v>
      </x:c>
      <x:c r="D30" s="23" t="str">
        <x:v>全局导航</x:v>
      </x:c>
      <x:c r="E30" s="21" t="str">
        <x:v>当前目标跨页面一致</x:v>
      </x:c>
      <x:c r="F30" s="21" t="str">
        <x:v>顶部、订单、宗门、地图均指向同一个 getCurrentObjective 结果</x:v>
      </x:c>
      <x:c r="G30" s="21" t="str">
        <x:v>同一状态跨四入口比对</x:v>
      </x:c>
      <x:c r="H30" s="21" t="str">
        <x:v>理解/导航</x:v>
      </x:c>
      <x:c r="I30" s="21" t="str">
        <x:v>全流程</x:v>
      </x:c>
      <x:c r="J30" s="21" t="str">
        <x:v>全平台</x:v>
      </x:c>
      <x:c r="K30" s="21" t="str"/>
      <x:c r="L30" s="29" t="str">
        <x:v>未检查</x:v>
      </x:c>
      <x:c r="M30" s="29" t="str">
        <x:v>未确认</x:v>
      </x:c>
      <x:c r="N30" s="29" t="str">
        <x:v>未确认</x:v>
      </x:c>
      <x:c r="O30" s="29" t="str"/>
      <x:c r="P30" s="29" t="str">
        <x:f>IF(OR(L30="未检查",L30="通过",L30="不适用"),"",IFERROR(VLOOKUP(M30,'口径与下拉'!$A$9:$B$14,2,FALSE),0)+IFERROR(VLOOKUP(N30,'口径与下拉'!$D$9:$E$14,2,FALSE),0)+O30)</x:f>
      </x:c>
      <x:c r="Q30" s="29" t="str"/>
      <x:c r="R30" s="29" t="str">
        <x:f>IF(P30="","",IF(P30&gt;=13,"P0",IF(P30&gt;=10,"P1",IF(P30&gt;=7,"P2","P3"))))</x:f>
      </x:c>
      <x:c r="S30" s="21" t="str"/>
      <x:c r="T30" s="21" t="str"/>
      <x:c r="U30" s="21" t="str"/>
      <x:c r="V30" s="31" t="str"/>
      <x:c r="W30" s="21" t="str"/>
      <x:c r="X30" s="21" t="str">
        <x:v>未复测</x:v>
      </x:c>
      <x:c r="Y30" s="21" t="str"/>
    </x:row>
    <x:row r="31" ht="52" customHeight="1">
      <x:c r="A31" s="27" t="str">
        <x:v>UX-027</x:v>
      </x:c>
      <x:c r="B31" s="23" t="str">
        <x:v>03 信息架构与导航</x:v>
      </x:c>
      <x:c r="C31" s="23" t="str">
        <x:v>路径与返回</x:v>
      </x:c>
      <x:c r="D31" s="23" t="str">
        <x:v>全局导航</x:v>
      </x:c>
      <x:c r="E31" s="21" t="str">
        <x:v>返回行为可预测</x:v>
      </x:c>
      <x:c r="F31" s="21" t="str">
        <x:v>页面返回上一层；弹窗先关闭；不会意外退出或丢失输入</x:v>
      </x:c>
      <x:c r="G31" s="21" t="str">
        <x:v>每页/每弹窗执行系统返回与页面返回</x:v>
      </x:c>
      <x:c r="H31" s="21" t="str">
        <x:v>理解/操作</x:v>
      </x:c>
      <x:c r="I31" s="21" t="str">
        <x:v>全流程</x:v>
      </x:c>
      <x:c r="J31" s="21" t="str">
        <x:v>全平台</x:v>
      </x:c>
      <x:c r="K31" s="21" t="str"/>
      <x:c r="L31" s="29" t="str">
        <x:v>未检查</x:v>
      </x:c>
      <x:c r="M31" s="29" t="str">
        <x:v>未确认</x:v>
      </x:c>
      <x:c r="N31" s="29" t="str">
        <x:v>未确认</x:v>
      </x:c>
      <x:c r="O31" s="29" t="str"/>
      <x:c r="P31" s="29" t="str">
        <x:f>IF(OR(L31="未检查",L31="通过",L31="不适用"),"",IFERROR(VLOOKUP(M31,'口径与下拉'!$A$9:$B$14,2,FALSE),0)+IFERROR(VLOOKUP(N31,'口径与下拉'!$D$9:$E$14,2,FALSE),0)+O31)</x:f>
      </x:c>
      <x:c r="Q31" s="29" t="str"/>
      <x:c r="R31" s="29" t="str">
        <x:f>IF(P31="","",IF(P31&gt;=13,"P0",IF(P31&gt;=10,"P1",IF(P31&gt;=7,"P2","P3"))))</x:f>
      </x:c>
      <x:c r="S31" s="21" t="str"/>
      <x:c r="T31" s="21" t="str"/>
      <x:c r="U31" s="21" t="str"/>
      <x:c r="V31" s="31" t="str"/>
      <x:c r="W31" s="21" t="str"/>
      <x:c r="X31" s="21" t="str">
        <x:v>未复测</x:v>
      </x:c>
      <x:c r="Y31" s="21" t="str"/>
    </x:row>
    <x:row r="32" ht="52" customHeight="1">
      <x:c r="A32" s="27" t="str">
        <x:v>UX-028</x:v>
      </x:c>
      <x:c r="B32" s="23" t="str">
        <x:v>03 信息架构与导航</x:v>
      </x:c>
      <x:c r="C32" s="23" t="str">
        <x:v>路径与返回</x:v>
      </x:c>
      <x:c r="D32" s="23" t="str">
        <x:v>全局导航</x:v>
      </x:c>
      <x:c r="E32" s="21" t="str">
        <x:v>深链前往后可返回来源</x:v>
      </x:c>
      <x:c r="F32" s="21" t="str">
        <x:v>从物品来源、目标、订单跳转后能回到原上下文</x:v>
      </x:c>
      <x:c r="G32" s="21" t="str">
        <x:v>覆盖所有“前往”按钮</x:v>
      </x:c>
      <x:c r="H32" s="21" t="str">
        <x:v>理解/操作</x:v>
      </x:c>
      <x:c r="I32" s="21" t="str">
        <x:v>全流程</x:v>
      </x:c>
      <x:c r="J32" s="21" t="str">
        <x:v>全平台</x:v>
      </x:c>
      <x:c r="K32" s="21" t="str"/>
      <x:c r="L32" s="29" t="str">
        <x:v>未检查</x:v>
      </x:c>
      <x:c r="M32" s="29" t="str">
        <x:v>未确认</x:v>
      </x:c>
      <x:c r="N32" s="29" t="str">
        <x:v>未确认</x:v>
      </x:c>
      <x:c r="O32" s="29" t="str"/>
      <x:c r="P32" s="29" t="str">
        <x:f>IF(OR(L32="未检查",L32="通过",L32="不适用"),"",IFERROR(VLOOKUP(M32,'口径与下拉'!$A$9:$B$14,2,FALSE),0)+IFERROR(VLOOKUP(N32,'口径与下拉'!$D$9:$E$14,2,FALSE),0)+O32)</x:f>
      </x:c>
      <x:c r="Q32" s="29" t="str"/>
      <x:c r="R32" s="29" t="str">
        <x:f>IF(P32="","",IF(P32&gt;=13,"P0",IF(P32&gt;=10,"P1",IF(P32&gt;=7,"P2","P3"))))</x:f>
      </x:c>
      <x:c r="S32" s="21" t="str"/>
      <x:c r="T32" s="21" t="str"/>
      <x:c r="U32" s="21" t="str"/>
      <x:c r="V32" s="31" t="str"/>
      <x:c r="W32" s="21" t="str"/>
      <x:c r="X32" s="21" t="str">
        <x:v>未复测</x:v>
      </x:c>
      <x:c r="Y32" s="21" t="str"/>
    </x:row>
    <x:row r="33" ht="52" customHeight="1">
      <x:c r="A33" s="27" t="str">
        <x:v>UX-029</x:v>
      </x:c>
      <x:c r="B33" s="23" t="str">
        <x:v>03 信息架构与导航</x:v>
      </x:c>
      <x:c r="C33" s="23" t="str">
        <x:v>路径与返回</x:v>
      </x:c>
      <x:c r="D33" s="23" t="str">
        <x:v>全局导航</x:v>
      </x:c>
      <x:c r="E33" s="21" t="str">
        <x:v>当前位置与层级可识别</x:v>
      </x:c>
      <x:c r="F33" s="21" t="str">
        <x:v>页面标题、选中态、面包屑/返回标签足以说明所处系统</x:v>
      </x:c>
      <x:c r="G33" s="21" t="str">
        <x:v>随机落到各页面询问用户</x:v>
      </x:c>
      <x:c r="H33" s="21" t="str">
        <x:v>理解/操作</x:v>
      </x:c>
      <x:c r="I33" s="21" t="str">
        <x:v>全流程</x:v>
      </x:c>
      <x:c r="J33" s="21" t="str">
        <x:v>全平台</x:v>
      </x:c>
      <x:c r="K33" s="21" t="str"/>
      <x:c r="L33" s="29" t="str">
        <x:v>未检查</x:v>
      </x:c>
      <x:c r="M33" s="29" t="str">
        <x:v>未确认</x:v>
      </x:c>
      <x:c r="N33" s="29" t="str">
        <x:v>未确认</x:v>
      </x:c>
      <x:c r="O33" s="29" t="str"/>
      <x:c r="P33" s="29" t="str">
        <x:f>IF(OR(L33="未检查",L33="通过",L33="不适用"),"",IFERROR(VLOOKUP(M33,'口径与下拉'!$A$9:$B$14,2,FALSE),0)+IFERROR(VLOOKUP(N33,'口径与下拉'!$D$9:$E$14,2,FALSE),0)+O33)</x:f>
      </x:c>
      <x:c r="Q33" s="29" t="str"/>
      <x:c r="R33" s="29" t="str">
        <x:f>IF(P33="","",IF(P33&gt;=13,"P0",IF(P33&gt;=10,"P1",IF(P33&gt;=7,"P2","P3"))))</x:f>
      </x:c>
      <x:c r="S33" s="21" t="str"/>
      <x:c r="T33" s="21" t="str"/>
      <x:c r="U33" s="21" t="str"/>
      <x:c r="V33" s="31" t="str"/>
      <x:c r="W33" s="21" t="str"/>
      <x:c r="X33" s="21" t="str">
        <x:v>未复测</x:v>
      </x:c>
      <x:c r="Y33" s="21" t="str"/>
    </x:row>
    <x:row r="34" ht="52" customHeight="1">
      <x:c r="A34" s="27" t="str">
        <x:v>UX-030</x:v>
      </x:c>
      <x:c r="B34" s="23" t="str">
        <x:v>03 信息架构与导航</x:v>
      </x:c>
      <x:c r="C34" s="23" t="str">
        <x:v>路径与返回</x:v>
      </x:c>
      <x:c r="D34" s="23" t="str">
        <x:v>全局导航</x:v>
      </x:c>
      <x:c r="E34" s="21" t="str">
        <x:v>重要功能不依赖隐蔽手势</x:v>
      </x:c>
      <x:c r="F34" s="21" t="str">
        <x:v>整理、回收、药匣、配方等有可见入口和文字/图标说明</x:v>
      </x:c>
      <x:c r="G34" s="21" t="str">
        <x:v>首次使用可发现性测试</x:v>
      </x:c>
      <x:c r="H34" s="21" t="str">
        <x:v>理解/操作</x:v>
      </x:c>
      <x:c r="I34" s="21" t="str">
        <x:v>全流程</x:v>
      </x:c>
      <x:c r="J34" s="21" t="str">
        <x:v>全平台</x:v>
      </x:c>
      <x:c r="K34" s="21" t="str"/>
      <x:c r="L34" s="29" t="str">
        <x:v>未检查</x:v>
      </x:c>
      <x:c r="M34" s="29" t="str">
        <x:v>未确认</x:v>
      </x:c>
      <x:c r="N34" s="29" t="str">
        <x:v>未确认</x:v>
      </x:c>
      <x:c r="O34" s="29" t="str"/>
      <x:c r="P34" s="29" t="str">
        <x:f>IF(OR(L34="未检查",L34="通过",L34="不适用"),"",IFERROR(VLOOKUP(M34,'口径与下拉'!$A$9:$B$14,2,FALSE),0)+IFERROR(VLOOKUP(N34,'口径与下拉'!$D$9:$E$14,2,FALSE),0)+O34)</x:f>
      </x:c>
      <x:c r="Q34" s="29" t="str"/>
      <x:c r="R34" s="29" t="str">
        <x:f>IF(P34="","",IF(P34&gt;=13,"P0",IF(P34&gt;=10,"P1",IF(P34&gt;=7,"P2","P3"))))</x:f>
      </x:c>
      <x:c r="S34" s="21" t="str"/>
      <x:c r="T34" s="21" t="str"/>
      <x:c r="U34" s="21" t="str"/>
      <x:c r="V34" s="31" t="str"/>
      <x:c r="W34" s="21" t="str"/>
      <x:c r="X34" s="21" t="str">
        <x:v>未复测</x:v>
      </x:c>
      <x:c r="Y34" s="21" t="str"/>
    </x:row>
    <x:row r="35" ht="52" customHeight="1">
      <x:c r="A35" s="27" t="str">
        <x:v>UX-031</x:v>
      </x:c>
      <x:c r="B35" s="23" t="str">
        <x:v>03 信息架构与导航</x:v>
      </x:c>
      <x:c r="C35" s="23" t="str">
        <x:v>路径与返回</x:v>
      </x:c>
      <x:c r="D35" s="23" t="str">
        <x:v>全局导航</x:v>
      </x:c>
      <x:c r="E35" s="21" t="str">
        <x:v>锁定入口解释解锁条件</x:v>
      </x:c>
      <x:c r="F35" s="21" t="str">
        <x:v>不可用功能显示原因、条件与可行下一步，不只置灰</x:v>
      </x:c>
      <x:c r="G35" s="21" t="str">
        <x:v>逐一触发未解锁入口</x:v>
      </x:c>
      <x:c r="H35" s="21" t="str">
        <x:v>理解/操作</x:v>
      </x:c>
      <x:c r="I35" s="21" t="str">
        <x:v>全流程</x:v>
      </x:c>
      <x:c r="J35" s="21" t="str">
        <x:v>全平台</x:v>
      </x:c>
      <x:c r="K35" s="21" t="str"/>
      <x:c r="L35" s="29" t="str">
        <x:v>未检查</x:v>
      </x:c>
      <x:c r="M35" s="29" t="str">
        <x:v>未确认</x:v>
      </x:c>
      <x:c r="N35" s="29" t="str">
        <x:v>未确认</x:v>
      </x:c>
      <x:c r="O35" s="29" t="str"/>
      <x:c r="P35" s="29" t="str">
        <x:f>IF(OR(L35="未检查",L35="通过",L35="不适用"),"",IFERROR(VLOOKUP(M35,'口径与下拉'!$A$9:$B$14,2,FALSE),0)+IFERROR(VLOOKUP(N35,'口径与下拉'!$D$9:$E$14,2,FALSE),0)+O35)</x:f>
      </x:c>
      <x:c r="Q35" s="29" t="str"/>
      <x:c r="R35" s="29" t="str">
        <x:f>IF(P35="","",IF(P35&gt;=13,"P0",IF(P35&gt;=10,"P1",IF(P35&gt;=7,"P2","P3"))))</x:f>
      </x:c>
      <x:c r="S35" s="21" t="str"/>
      <x:c r="T35" s="21" t="str"/>
      <x:c r="U35" s="21" t="str"/>
      <x:c r="V35" s="31" t="str"/>
      <x:c r="W35" s="21" t="str"/>
      <x:c r="X35" s="21" t="str">
        <x:v>未复测</x:v>
      </x:c>
      <x:c r="Y35" s="21" t="str"/>
    </x:row>
    <x:row r="36" ht="52" customHeight="1">
      <x:c r="A36" s="27" t="str">
        <x:v>UX-032</x:v>
      </x:c>
      <x:c r="B36" s="23" t="str">
        <x:v>03 信息架构与导航</x:v>
      </x:c>
      <x:c r="C36" s="23" t="str">
        <x:v>路径与返回</x:v>
      </x:c>
      <x:c r="D36" s="23" t="str">
        <x:v>全局导航</x:v>
      </x:c>
      <x:c r="E36" s="21" t="str">
        <x:v>弹窗层级不堆叠失控</x:v>
      </x:c>
      <x:c r="F36" s="21" t="str">
        <x:v>最多一个主模态；二次确认关闭后焦点与上下文正确恢复</x:v>
      </x:c>
      <x:c r="G36" s="21" t="str">
        <x:v>连续打开来源/确认/奖励弹窗</x:v>
      </x:c>
      <x:c r="H36" s="21" t="str">
        <x:v>理解/操作</x:v>
      </x:c>
      <x:c r="I36" s="21" t="str">
        <x:v>全流程</x:v>
      </x:c>
      <x:c r="J36" s="21" t="str">
        <x:v>全平台</x:v>
      </x:c>
      <x:c r="K36" s="21" t="str"/>
      <x:c r="L36" s="29" t="str">
        <x:v>未检查</x:v>
      </x:c>
      <x:c r="M36" s="29" t="str">
        <x:v>未确认</x:v>
      </x:c>
      <x:c r="N36" s="29" t="str">
        <x:v>未确认</x:v>
      </x:c>
      <x:c r="O36" s="29" t="str"/>
      <x:c r="P36" s="29" t="str">
        <x:f>IF(OR(L36="未检查",L36="通过",L36="不适用"),"",IFERROR(VLOOKUP(M36,'口径与下拉'!$A$9:$B$14,2,FALSE),0)+IFERROR(VLOOKUP(N36,'口径与下拉'!$D$9:$E$14,2,FALSE),0)+O36)</x:f>
      </x:c>
      <x:c r="Q36" s="29" t="str"/>
      <x:c r="R36" s="29" t="str">
        <x:f>IF(P36="","",IF(P36&gt;=13,"P0",IF(P36&gt;=10,"P1",IF(P36&gt;=7,"P2","P3"))))</x:f>
      </x:c>
      <x:c r="S36" s="21" t="str"/>
      <x:c r="T36" s="21" t="str"/>
      <x:c r="U36" s="21" t="str"/>
      <x:c r="V36" s="31" t="str"/>
      <x:c r="W36" s="21" t="str"/>
      <x:c r="X36" s="21" t="str">
        <x:v>未复测</x:v>
      </x:c>
      <x:c r="Y36" s="21" t="str"/>
    </x:row>
    <x:row r="37" ht="52" customHeight="1">
      <x:c r="A37" s="27" t="str">
        <x:v>UX-033</x:v>
      </x:c>
      <x:c r="B37" s="23" t="str">
        <x:v>03 信息架构与导航</x:v>
      </x:c>
      <x:c r="C37" s="23" t="str">
        <x:v>路径与返回</x:v>
      </x:c>
      <x:c r="D37" s="23" t="str">
        <x:v>全局导航</x:v>
      </x:c>
      <x:c r="E37" s="21" t="str">
        <x:v>页面滚动位置符合预期</x:v>
      </x:c>
      <x:c r="F37" s="21" t="str">
        <x:v>返回列表保留位置；切换大类时从合理位置开始</x:v>
      </x:c>
      <x:c r="G37" s="21" t="str">
        <x:v>长列表滚动后往返</x:v>
      </x:c>
      <x:c r="H37" s="21" t="str">
        <x:v>理解/操作</x:v>
      </x:c>
      <x:c r="I37" s="21" t="str">
        <x:v>全流程</x:v>
      </x:c>
      <x:c r="J37" s="21" t="str">
        <x:v>全平台</x:v>
      </x:c>
      <x:c r="K37" s="21" t="str"/>
      <x:c r="L37" s="29" t="str">
        <x:v>未检查</x:v>
      </x:c>
      <x:c r="M37" s="29" t="str">
        <x:v>未确认</x:v>
      </x:c>
      <x:c r="N37" s="29" t="str">
        <x:v>未确认</x:v>
      </x:c>
      <x:c r="O37" s="29" t="str"/>
      <x:c r="P37" s="29" t="str">
        <x:f>IF(OR(L37="未检查",L37="通过",L37="不适用"),"",IFERROR(VLOOKUP(M37,'口径与下拉'!$A$9:$B$14,2,FALSE),0)+IFERROR(VLOOKUP(N37,'口径与下拉'!$D$9:$E$14,2,FALSE),0)+O37)</x:f>
      </x:c>
      <x:c r="Q37" s="29" t="str"/>
      <x:c r="R37" s="29" t="str">
        <x:f>IF(P37="","",IF(P37&gt;=13,"P0",IF(P37&gt;=10,"P1",IF(P37&gt;=7,"P2","P3"))))</x:f>
      </x:c>
      <x:c r="S37" s="21" t="str"/>
      <x:c r="T37" s="21" t="str"/>
      <x:c r="U37" s="21" t="str"/>
      <x:c r="V37" s="31" t="str"/>
      <x:c r="W37" s="21" t="str"/>
      <x:c r="X37" s="21" t="str">
        <x:v>未复测</x:v>
      </x:c>
      <x:c r="Y37" s="21" t="str"/>
    </x:row>
    <x:row r="38" ht="52" customHeight="1">
      <x:c r="A38" s="27" t="str">
        <x:v>UX-034</x:v>
      </x:c>
      <x:c r="B38" s="23" t="str">
        <x:v>03 信息架构与导航</x:v>
      </x:c>
      <x:c r="C38" s="23" t="str">
        <x:v>路径与返回</x:v>
      </x:c>
      <x:c r="D38" s="23" t="str">
        <x:v>全局导航</x:v>
      </x:c>
      <x:c r="E38" s="21" t="str">
        <x:v>无死胡同状态</x:v>
      </x:c>
      <x:c r="F38" s="21" t="str">
        <x:v>每个空态、错误态、锁定态至少有返回、重试或下一步</x:v>
      </x:c>
      <x:c r="G38" s="21" t="str">
        <x:v>断网/无资源/无内容状态巡检</x:v>
      </x:c>
      <x:c r="H38" s="21" t="str">
        <x:v>理解/操作</x:v>
      </x:c>
      <x:c r="I38" s="21" t="str">
        <x:v>全流程</x:v>
      </x:c>
      <x:c r="J38" s="21" t="str">
        <x:v>全平台</x:v>
      </x:c>
      <x:c r="K38" s="21" t="str"/>
      <x:c r="L38" s="29" t="str">
        <x:v>未检查</x:v>
      </x:c>
      <x:c r="M38" s="29" t="str">
        <x:v>未确认</x:v>
      </x:c>
      <x:c r="N38" s="29" t="str">
        <x:v>未确认</x:v>
      </x:c>
      <x:c r="O38" s="29" t="str"/>
      <x:c r="P38" s="29" t="str">
        <x:f>IF(OR(L38="未检查",L38="通过",L38="不适用"),"",IFERROR(VLOOKUP(M38,'口径与下拉'!$A$9:$B$14,2,FALSE),0)+IFERROR(VLOOKUP(N38,'口径与下拉'!$D$9:$E$14,2,FALSE),0)+O38)</x:f>
      </x:c>
      <x:c r="Q38" s="29" t="str"/>
      <x:c r="R38" s="29" t="str">
        <x:f>IF(P38="","",IF(P38&gt;=13,"P0",IF(P38&gt;=10,"P1",IF(P38&gt;=7,"P2","P3"))))</x:f>
      </x:c>
      <x:c r="S38" s="21" t="str"/>
      <x:c r="T38" s="21" t="str"/>
      <x:c r="U38" s="21" t="str"/>
      <x:c r="V38" s="31" t="str"/>
      <x:c r="W38" s="21" t="str"/>
      <x:c r="X38" s="21" t="str">
        <x:v>未复测</x:v>
      </x:c>
      <x:c r="Y38" s="21" t="str"/>
    </x:row>
    <x:row r="39" ht="52" customHeight="1">
      <x:c r="A39" s="27" t="str">
        <x:v>UX-035</x:v>
      </x:c>
      <x:c r="B39" s="23" t="str">
        <x:v>03 信息架构与导航</x:v>
      </x:c>
      <x:c r="C39" s="23" t="str">
        <x:v>路径与返回</x:v>
      </x:c>
      <x:c r="D39" s="23" t="str">
        <x:v>全局导航</x:v>
      </x:c>
      <x:c r="E39" s="21" t="str">
        <x:v>横屏与桌面导航仍完整</x:v>
      </x:c>
      <x:c r="F39" s="21" t="str">
        <x:v>不因布局变化隐藏唯一入口或把按钮移到不可见区域</x:v>
      </x:c>
      <x:c r="G39" s="21" t="str">
        <x:v>844×390 与桌面窗口检查</x:v>
      </x:c>
      <x:c r="H39" s="21" t="str">
        <x:v>适配/导航</x:v>
      </x:c>
      <x:c r="I39" s="21" t="str">
        <x:v>全流程</x:v>
      </x:c>
      <x:c r="J39" s="21" t="str">
        <x:v>全平台</x:v>
      </x:c>
      <x:c r="K39" s="21" t="str"/>
      <x:c r="L39" s="29" t="str">
        <x:v>未检查</x:v>
      </x:c>
      <x:c r="M39" s="29" t="str">
        <x:v>未确认</x:v>
      </x:c>
      <x:c r="N39" s="29" t="str">
        <x:v>未确认</x:v>
      </x:c>
      <x:c r="O39" s="29" t="str"/>
      <x:c r="P39" s="29" t="str">
        <x:f>IF(OR(L39="未检查",L39="通过",L39="不适用"),"",IFERROR(VLOOKUP(M39,'口径与下拉'!$A$9:$B$14,2,FALSE),0)+IFERROR(VLOOKUP(N39,'口径与下拉'!$D$9:$E$14,2,FALSE),0)+O39)</x:f>
      </x:c>
      <x:c r="Q39" s="29" t="str"/>
      <x:c r="R39" s="29" t="str">
        <x:f>IF(P39="","",IF(P39&gt;=13,"P0",IF(P39&gt;=10,"P1",IF(P39&gt;=7,"P2","P3"))))</x:f>
      </x:c>
      <x:c r="S39" s="21" t="str"/>
      <x:c r="T39" s="21" t="str"/>
      <x:c r="U39" s="21" t="str"/>
      <x:c r="V39" s="31" t="str"/>
      <x:c r="W39" s="21" t="str"/>
      <x:c r="X39" s="21" t="str">
        <x:v>未复测</x:v>
      </x:c>
      <x:c r="Y39" s="21" t="str"/>
    </x:row>
    <x:row r="40" ht="52" customHeight="1">
      <x:c r="A40" s="27" t="str">
        <x:v>UX-036</x:v>
      </x:c>
      <x:c r="B40" s="23" t="str">
        <x:v>03 信息架构与导航</x:v>
      </x:c>
      <x:c r="C40" s="23" t="str">
        <x:v>路径与返回</x:v>
      </x:c>
      <x:c r="D40" s="23" t="str">
        <x:v>全局导航</x:v>
      </x:c>
      <x:c r="E40" s="21" t="str">
        <x:v>快捷工具不遮挡核心任务</x:v>
      </x:c>
      <x:c r="F40" s="21" t="str">
        <x:v>四个快捷工具与目标栏、底栏、棋盘在小屏均可操作</x:v>
      </x:c>
      <x:c r="G40" s="21" t="str">
        <x:v>320×568 实机/模拟器操作</x:v>
      </x:c>
      <x:c r="H40" s="21" t="str">
        <x:v>操作/适配</x:v>
      </x:c>
      <x:c r="I40" s="21" t="str">
        <x:v>全流程</x:v>
      </x:c>
      <x:c r="J40" s="21" t="str">
        <x:v>全平台</x:v>
      </x:c>
      <x:c r="K40" s="21" t="str"/>
      <x:c r="L40" s="29" t="str">
        <x:v>未检查</x:v>
      </x:c>
      <x:c r="M40" s="29" t="str">
        <x:v>未确认</x:v>
      </x:c>
      <x:c r="N40" s="29" t="str">
        <x:v>未确认</x:v>
      </x:c>
      <x:c r="O40" s="29" t="str"/>
      <x:c r="P40" s="29" t="str">
        <x:f>IF(OR(L40="未检查",L40="通过",L40="不适用"),"",IFERROR(VLOOKUP(M40,'口径与下拉'!$A$9:$B$14,2,FALSE),0)+IFERROR(VLOOKUP(N40,'口径与下拉'!$D$9:$E$14,2,FALSE),0)+O40)</x:f>
      </x:c>
      <x:c r="Q40" s="29" t="str"/>
      <x:c r="R40" s="29" t="str">
        <x:f>IF(P40="","",IF(P40&gt;=13,"P0",IF(P40&gt;=10,"P1",IF(P40&gt;=7,"P2","P3"))))</x:f>
      </x:c>
      <x:c r="S40" s="21" t="str"/>
      <x:c r="T40" s="21" t="str"/>
      <x:c r="U40" s="21" t="str"/>
      <x:c r="V40" s="31" t="str"/>
      <x:c r="W40" s="21" t="str"/>
      <x:c r="X40" s="21" t="str">
        <x:v>未复测</x:v>
      </x:c>
      <x:c r="Y40" s="21" t="str"/>
    </x:row>
    <x:row r="41" ht="52" customHeight="1">
      <x:c r="A41" s="27" t="str">
        <x:v>UX-037</x:v>
      </x:c>
      <x:c r="B41" s="23" t="str">
        <x:v>04 视觉风格与美术一致性</x:v>
      </x:c>
      <x:c r="C41" s="23" t="str">
        <x:v>视觉语言</x:v>
      </x:c>
      <x:c r="D41" s="23" t="str">
        <x:v>32 个基线界面</x:v>
      </x:c>
      <x:c r="E41" s="21" t="str">
        <x:v>32 屏真实运行基线均有对应实现</x:v>
      </x:c>
      <x:c r="F41" s="21" t="str">
        <x:v>每个基线页/弹窗可从真实流程或测试路由打开，无静态稿孤岛</x:v>
      </x:c>
      <x:c r="G41" s="21" t="str">
        <x:v>场景矩阵逐屏打开 + 截图</x:v>
      </x:c>
      <x:c r="H41" s="21" t="str">
        <x:v>理解/操作</x:v>
      </x:c>
      <x:c r="I41" s="21" t="str">
        <x:v>全流程</x:v>
      </x:c>
      <x:c r="J41" s="21" t="str">
        <x:v>全平台</x:v>
      </x:c>
      <x:c r="K41" s="21" t="str"/>
      <x:c r="L41" s="29" t="str">
        <x:v>未检查</x:v>
      </x:c>
      <x:c r="M41" s="29" t="str">
        <x:v>未确认</x:v>
      </x:c>
      <x:c r="N41" s="29" t="str">
        <x:v>未确认</x:v>
      </x:c>
      <x:c r="O41" s="29" t="str"/>
      <x:c r="P41" s="29" t="str">
        <x:f>IF(OR(L41="未检查",L41="通过",L41="不适用"),"",IFERROR(VLOOKUP(M41,'口径与下拉'!$A$9:$B$14,2,FALSE),0)+IFERROR(VLOOKUP(N41,'口径与下拉'!$D$9:$E$14,2,FALSE),0)+O41)</x:f>
      </x:c>
      <x:c r="Q41" s="29" t="str"/>
      <x:c r="R41" s="29" t="str">
        <x:f>IF(P41="","",IF(P41&gt;=13,"P0",IF(P41&gt;=10,"P1",IF(P41&gt;=7,"P2","P3"))))</x:f>
      </x:c>
      <x:c r="S41" s="21" t="str"/>
      <x:c r="T41" s="21" t="str"/>
      <x:c r="U41" s="21" t="str"/>
      <x:c r="V41" s="31" t="str"/>
      <x:c r="W41" s="21" t="str"/>
      <x:c r="X41" s="21" t="str">
        <x:v>未复测</x:v>
      </x:c>
      <x:c r="Y41" s="21" t="str"/>
    </x:row>
    <x:row r="42" ht="52" customHeight="1">
      <x:c r="A42" s="27" t="str">
        <x:v>UX-038</x:v>
      </x:c>
      <x:c r="B42" s="23" t="str">
        <x:v>04 视觉风格与美术一致性</x:v>
      </x:c>
      <x:c r="C42" s="23" t="str">
        <x:v>视觉语言</x:v>
      </x:c>
      <x:c r="D42" s="23" t="str">
        <x:v>32 个基线界面</x:v>
      </x:c>
      <x:c r="E42" s="21" t="str">
        <x:v>朱砂、宣纸、墨色层级一致</x:v>
      </x:c>
      <x:c r="F42" s="21" t="str">
        <x:v>相同语义的主次按钮、面板、危险动作使用一致色彩</x:v>
      </x:c>
      <x:c r="G42" s="21" t="str">
        <x:v>跨页视觉对照</x:v>
      </x:c>
      <x:c r="H42" s="21" t="str">
        <x:v>品牌/理解</x:v>
      </x:c>
      <x:c r="I42" s="21" t="str">
        <x:v>全流程</x:v>
      </x:c>
      <x:c r="J42" s="21" t="str">
        <x:v>全平台</x:v>
      </x:c>
      <x:c r="K42" s="21" t="str"/>
      <x:c r="L42" s="29" t="str">
        <x:v>未检查</x:v>
      </x:c>
      <x:c r="M42" s="29" t="str">
        <x:v>未确认</x:v>
      </x:c>
      <x:c r="N42" s="29" t="str">
        <x:v>未确认</x:v>
      </x:c>
      <x:c r="O42" s="29" t="str"/>
      <x:c r="P42" s="29" t="str">
        <x:f>IF(OR(L42="未检查",L42="通过",L42="不适用"),"",IFERROR(VLOOKUP(M42,'口径与下拉'!$A$9:$B$14,2,FALSE),0)+IFERROR(VLOOKUP(N42,'口径与下拉'!$D$9:$E$14,2,FALSE),0)+O42)</x:f>
      </x:c>
      <x:c r="Q42" s="29" t="str"/>
      <x:c r="R42" s="29" t="str">
        <x:f>IF(P42="","",IF(P42&gt;=13,"P0",IF(P42&gt;=10,"P1",IF(P42&gt;=7,"P2","P3"))))</x:f>
      </x:c>
      <x:c r="S42" s="21" t="str"/>
      <x:c r="T42" s="21" t="str"/>
      <x:c r="U42" s="21" t="str"/>
      <x:c r="V42" s="31" t="str"/>
      <x:c r="W42" s="21" t="str"/>
      <x:c r="X42" s="21" t="str">
        <x:v>未复测</x:v>
      </x:c>
      <x:c r="Y42" s="21" t="str"/>
    </x:row>
    <x:row r="43" ht="52" customHeight="1">
      <x:c r="A43" s="27" t="str">
        <x:v>UX-039</x:v>
      </x:c>
      <x:c r="B43" s="23" t="str">
        <x:v>04 视觉风格与美术一致性</x:v>
      </x:c>
      <x:c r="C43" s="23" t="str">
        <x:v>视觉语言</x:v>
      </x:c>
      <x:c r="D43" s="23" t="str">
        <x:v>32 个基线界面</x:v>
      </x:c>
      <x:c r="E43" s="21" t="str">
        <x:v>字体统一且加载成功</x:v>
      </x:c>
      <x:c r="F43" s="21" t="str">
        <x:v>正文、标题、Canvas 使用统一可读字体；加载失败有协调回退</x:v>
      </x:c>
      <x:c r="G43" s="21" t="str">
        <x:v>document.fonts + 逐屏视觉核对</x:v>
      </x:c>
      <x:c r="H43" s="21" t="str">
        <x:v>品牌/可读性</x:v>
      </x:c>
      <x:c r="I43" s="21" t="str">
        <x:v>全流程</x:v>
      </x:c>
      <x:c r="J43" s="21" t="str">
        <x:v>全平台</x:v>
      </x:c>
      <x:c r="K43" s="21" t="str"/>
      <x:c r="L43" s="29" t="str">
        <x:v>未检查</x:v>
      </x:c>
      <x:c r="M43" s="29" t="str">
        <x:v>未确认</x:v>
      </x:c>
      <x:c r="N43" s="29" t="str">
        <x:v>未确认</x:v>
      </x:c>
      <x:c r="O43" s="29" t="str"/>
      <x:c r="P43" s="29" t="str">
        <x:f>IF(OR(L43="未检查",L43="通过",L43="不适用"),"",IFERROR(VLOOKUP(M43,'口径与下拉'!$A$9:$B$14,2,FALSE),0)+IFERROR(VLOOKUP(N43,'口径与下拉'!$D$9:$E$14,2,FALSE),0)+O43)</x:f>
      </x:c>
      <x:c r="Q43" s="29" t="str"/>
      <x:c r="R43" s="29" t="str">
        <x:f>IF(P43="","",IF(P43&gt;=13,"P0",IF(P43&gt;=10,"P1",IF(P43&gt;=7,"P2","P3"))))</x:f>
      </x:c>
      <x:c r="S43" s="21" t="str"/>
      <x:c r="T43" s="21" t="str"/>
      <x:c r="U43" s="21" t="str"/>
      <x:c r="V43" s="31" t="str"/>
      <x:c r="W43" s="21" t="str"/>
      <x:c r="X43" s="21" t="str">
        <x:v>未复测</x:v>
      </x:c>
      <x:c r="Y43" s="21" t="str"/>
    </x:row>
    <x:row r="44" ht="52" customHeight="1">
      <x:c r="A44" s="27" t="str">
        <x:v>UX-040</x:v>
      </x:c>
      <x:c r="B44" s="23" t="str">
        <x:v>04 视觉风格与美术一致性</x:v>
      </x:c>
      <x:c r="C44" s="23" t="str">
        <x:v>视觉语言</x:v>
      </x:c>
      <x:c r="D44" s="23" t="str">
        <x:v>32 个基线界面</x:v>
      </x:c>
      <x:c r="E44" s="21" t="str">
        <x:v>图标语义一致</x:v>
      </x:c>
      <x:c r="F44" s="21" t="str">
        <x:v>同一图标不表达不同动作；同一动作不频繁换图标</x:v>
      </x:c>
      <x:c r="G44" s="21" t="str">
        <x:v>图标清单与逐屏对照</x:v>
      </x:c>
      <x:c r="H44" s="21" t="str">
        <x:v>理解/操作</x:v>
      </x:c>
      <x:c r="I44" s="21" t="str">
        <x:v>全流程</x:v>
      </x:c>
      <x:c r="J44" s="21" t="str">
        <x:v>全平台</x:v>
      </x:c>
      <x:c r="K44" s="21" t="str"/>
      <x:c r="L44" s="29" t="str">
        <x:v>未检查</x:v>
      </x:c>
      <x:c r="M44" s="29" t="str">
        <x:v>未确认</x:v>
      </x:c>
      <x:c r="N44" s="29" t="str">
        <x:v>未确认</x:v>
      </x:c>
      <x:c r="O44" s="29" t="str"/>
      <x:c r="P44" s="29" t="str">
        <x:f>IF(OR(L44="未检查",L44="通过",L44="不适用"),"",IFERROR(VLOOKUP(M44,'口径与下拉'!$A$9:$B$14,2,FALSE),0)+IFERROR(VLOOKUP(N44,'口径与下拉'!$D$9:$E$14,2,FALSE),0)+O44)</x:f>
      </x:c>
      <x:c r="Q44" s="29" t="str"/>
      <x:c r="R44" s="29" t="str">
        <x:f>IF(P44="","",IF(P44&gt;=13,"P0",IF(P44&gt;=10,"P1",IF(P44&gt;=7,"P2","P3"))))</x:f>
      </x:c>
      <x:c r="S44" s="21" t="str"/>
      <x:c r="T44" s="21" t="str"/>
      <x:c r="U44" s="21" t="str"/>
      <x:c r="V44" s="31" t="str"/>
      <x:c r="W44" s="21" t="str"/>
      <x:c r="X44" s="21" t="str">
        <x:v>未复测</x:v>
      </x:c>
      <x:c r="Y44" s="21" t="str"/>
    </x:row>
    <x:row r="45" ht="52" customHeight="1">
      <x:c r="A45" s="27" t="str">
        <x:v>UX-041</x:v>
      </x:c>
      <x:c r="B45" s="23" t="str">
        <x:v>04 视觉风格与美术一致性</x:v>
      </x:c>
      <x:c r="C45" s="23" t="str">
        <x:v>视觉语言</x:v>
      </x:c>
      <x:c r="D45" s="23" t="str">
        <x:v>32 个基线界面</x:v>
      </x:c>
      <x:c r="E45" s="21" t="str">
        <x:v>主次按钮层级稳定</x:v>
      </x:c>
      <x:c r="F45" s="21" t="str">
        <x:v>每屏只有一个最强主动作；危险/取消不抢主视觉</x:v>
      </x:c>
      <x:c r="G45" s="21" t="str">
        <x:v>逐屏标注视觉焦点</x:v>
      </x:c>
      <x:c r="H45" s="21" t="str">
        <x:v>理解/操作</x:v>
      </x:c>
      <x:c r="I45" s="21" t="str">
        <x:v>全流程</x:v>
      </x:c>
      <x:c r="J45" s="21" t="str">
        <x:v>全平台</x:v>
      </x:c>
      <x:c r="K45" s="21" t="str"/>
      <x:c r="L45" s="29" t="str">
        <x:v>未检查</x:v>
      </x:c>
      <x:c r="M45" s="29" t="str">
        <x:v>未确认</x:v>
      </x:c>
      <x:c r="N45" s="29" t="str">
        <x:v>未确认</x:v>
      </x:c>
      <x:c r="O45" s="29" t="str"/>
      <x:c r="P45" s="29" t="str">
        <x:f>IF(OR(L45="未检查",L45="通过",L45="不适用"),"",IFERROR(VLOOKUP(M45,'口径与下拉'!$A$9:$B$14,2,FALSE),0)+IFERROR(VLOOKUP(N45,'口径与下拉'!$D$9:$E$14,2,FALSE),0)+O45)</x:f>
      </x:c>
      <x:c r="Q45" s="29" t="str"/>
      <x:c r="R45" s="29" t="str">
        <x:f>IF(P45="","",IF(P45&gt;=13,"P0",IF(P45&gt;=10,"P1",IF(P45&gt;=7,"P2","P3"))))</x:f>
      </x:c>
      <x:c r="S45" s="21" t="str"/>
      <x:c r="T45" s="21" t="str"/>
      <x:c r="U45" s="21" t="str"/>
      <x:c r="V45" s="31" t="str"/>
      <x:c r="W45" s="21" t="str"/>
      <x:c r="X45" s="21" t="str">
        <x:v>未复测</x:v>
      </x:c>
      <x:c r="Y45" s="21" t="str"/>
    </x:row>
    <x:row r="46" ht="52" customHeight="1">
      <x:c r="A46" s="27" t="str">
        <x:v>UX-042</x:v>
      </x:c>
      <x:c r="B46" s="23" t="str">
        <x:v>04 视觉风格与美术一致性</x:v>
      </x:c>
      <x:c r="C46" s="23" t="str">
        <x:v>视觉语言</x:v>
      </x:c>
      <x:c r="D46" s="23" t="str">
        <x:v>32 个基线界面</x:v>
      </x:c>
      <x:c r="E46" s="21" t="str">
        <x:v>神兽五形态差异可感知</x:v>
      </x:c>
      <x:c r="F46" s="21" t="str">
        <x:v>成长阶段在姿态、细节或气质上递进，不仅数值/光效变化</x:v>
      </x:c>
      <x:c r="G46" s="21" t="str">
        <x:v>12 兽形态联系表抽检</x:v>
      </x:c>
      <x:c r="H46" s="21" t="str">
        <x:v>情绪/收集</x:v>
      </x:c>
      <x:c r="I46" s="21" t="str">
        <x:v>全流程</x:v>
      </x:c>
      <x:c r="J46" s="21" t="str">
        <x:v>全平台</x:v>
      </x:c>
      <x:c r="K46" s="21" t="str"/>
      <x:c r="L46" s="29" t="str">
        <x:v>未检查</x:v>
      </x:c>
      <x:c r="M46" s="29" t="str">
        <x:v>未确认</x:v>
      </x:c>
      <x:c r="N46" s="29" t="str">
        <x:v>未确认</x:v>
      </x:c>
      <x:c r="O46" s="29" t="str"/>
      <x:c r="P46" s="29" t="str">
        <x:f>IF(OR(L46="未检查",L46="通过",L46="不适用"),"",IFERROR(VLOOKUP(M46,'口径与下拉'!$A$9:$B$14,2,FALSE),0)+IFERROR(VLOOKUP(N46,'口径与下拉'!$D$9:$E$14,2,FALSE),0)+O46)</x:f>
      </x:c>
      <x:c r="Q46" s="29" t="str"/>
      <x:c r="R46" s="29" t="str">
        <x:f>IF(P46="","",IF(P46&gt;=13,"P0",IF(P46&gt;=10,"P1",IF(P46&gt;=7,"P2","P3"))))</x:f>
      </x:c>
      <x:c r="S46" s="21" t="str"/>
      <x:c r="T46" s="21" t="str"/>
      <x:c r="U46" s="21" t="str"/>
      <x:c r="V46" s="31" t="str"/>
      <x:c r="W46" s="21" t="str"/>
      <x:c r="X46" s="21" t="str">
        <x:v>未复测</x:v>
      </x:c>
      <x:c r="Y46" s="21" t="str"/>
    </x:row>
    <x:row r="47" ht="52" customHeight="1">
      <x:c r="A47" s="27" t="str">
        <x:v>UX-043</x:v>
      </x:c>
      <x:c r="B47" s="23" t="str">
        <x:v>04 视觉风格与美术一致性</x:v>
      </x:c>
      <x:c r="C47" s="23" t="str">
        <x:v>视觉语言</x:v>
      </x:c>
      <x:c r="D47" s="23" t="str">
        <x:v>32 个基线界面</x:v>
      </x:c>
      <x:c r="E47" s="21" t="str">
        <x:v>角色与场景融合</x:v>
      </x:c>
      <x:c r="F47" s="21" t="str">
        <x:v>比例、光向、接地、遮挡和色温协调，无贴纸感或漂浮感</x:v>
      </x:c>
      <x:c r="G47" s="21" t="str">
        <x:v>庭院/照料/蜕变重点截图对比</x:v>
      </x:c>
      <x:c r="H47" s="21" t="str">
        <x:v>沉浸/美术</x:v>
      </x:c>
      <x:c r="I47" s="21" t="str">
        <x:v>全流程</x:v>
      </x:c>
      <x:c r="J47" s="21" t="str">
        <x:v>全平台</x:v>
      </x:c>
      <x:c r="K47" s="21" t="str"/>
      <x:c r="L47" s="29" t="str">
        <x:v>未检查</x:v>
      </x:c>
      <x:c r="M47" s="29" t="str">
        <x:v>未确认</x:v>
      </x:c>
      <x:c r="N47" s="29" t="str">
        <x:v>未确认</x:v>
      </x:c>
      <x:c r="O47" s="29" t="str"/>
      <x:c r="P47" s="29" t="str">
        <x:f>IF(OR(L47="未检查",L47="通过",L47="不适用"),"",IFERROR(VLOOKUP(M47,'口径与下拉'!$A$9:$B$14,2,FALSE),0)+IFERROR(VLOOKUP(N47,'口径与下拉'!$D$9:$E$14,2,FALSE),0)+O47)</x:f>
      </x:c>
      <x:c r="Q47" s="29" t="str"/>
      <x:c r="R47" s="29" t="str">
        <x:f>IF(P47="","",IF(P47&gt;=13,"P0",IF(P47&gt;=10,"P1",IF(P47&gt;=7,"P2","P3"))))</x:f>
      </x:c>
      <x:c r="S47" s="21" t="str"/>
      <x:c r="T47" s="21" t="str"/>
      <x:c r="U47" s="21" t="str"/>
      <x:c r="V47" s="31" t="str"/>
      <x:c r="W47" s="21" t="str"/>
      <x:c r="X47" s="21" t="str">
        <x:v>未复测</x:v>
      </x:c>
      <x:c r="Y47" s="21" t="str"/>
    </x:row>
    <x:row r="48" ht="52" customHeight="1">
      <x:c r="A48" s="27" t="str">
        <x:v>UX-044</x:v>
      </x:c>
      <x:c r="B48" s="23" t="str">
        <x:v>04 视觉风格与美术一致性</x:v>
      </x:c>
      <x:c r="C48" s="23" t="str">
        <x:v>视觉语言</x:v>
      </x:c>
      <x:c r="D48" s="23" t="str">
        <x:v>32 个基线界面</x:v>
      </x:c>
      <x:c r="E48" s="21" t="str">
        <x:v>修缮阶段变化真实</x:v>
      </x:c>
      <x:c r="F48" s="21" t="str">
        <x:v>四个实绘区域与十个叠加区域均能明确区分破败→焕新</x:v>
      </x:c>
      <x:c r="G48" s="21" t="str">
        <x:v>14 区各阶段对照</x:v>
      </x:c>
      <x:c r="H48" s="21" t="str">
        <x:v>成长/反馈</x:v>
      </x:c>
      <x:c r="I48" s="21" t="str">
        <x:v>全流程</x:v>
      </x:c>
      <x:c r="J48" s="21" t="str">
        <x:v>全平台</x:v>
      </x:c>
      <x:c r="K48" s="21" t="str"/>
      <x:c r="L48" s="29" t="str">
        <x:v>未检查</x:v>
      </x:c>
      <x:c r="M48" s="29" t="str">
        <x:v>未确认</x:v>
      </x:c>
      <x:c r="N48" s="29" t="str">
        <x:v>未确认</x:v>
      </x:c>
      <x:c r="O48" s="29" t="str"/>
      <x:c r="P48" s="29" t="str">
        <x:f>IF(OR(L48="未检查",L48="通过",L48="不适用"),"",IFERROR(VLOOKUP(M48,'口径与下拉'!$A$9:$B$14,2,FALSE),0)+IFERROR(VLOOKUP(N48,'口径与下拉'!$D$9:$E$14,2,FALSE),0)+O48)</x:f>
      </x:c>
      <x:c r="Q48" s="29" t="str"/>
      <x:c r="R48" s="29" t="str">
        <x:f>IF(P48="","",IF(P48&gt;=13,"P0",IF(P48&gt;=10,"P1",IF(P48&gt;=7,"P2","P3"))))</x:f>
      </x:c>
      <x:c r="S48" s="21" t="str"/>
      <x:c r="T48" s="21" t="str"/>
      <x:c r="U48" s="21" t="str"/>
      <x:c r="V48" s="31" t="str"/>
      <x:c r="W48" s="21" t="str"/>
      <x:c r="X48" s="21" t="str">
        <x:v>未复测</x:v>
      </x:c>
      <x:c r="Y48" s="21" t="str"/>
    </x:row>
    <x:row r="49" ht="52" customHeight="1">
      <x:c r="A49" s="27" t="str">
        <x:v>UX-045</x:v>
      </x:c>
      <x:c r="B49" s="23" t="str">
        <x:v>04 视觉风格与美术一致性</x:v>
      </x:c>
      <x:c r="C49" s="23" t="str">
        <x:v>视觉语言</x:v>
      </x:c>
      <x:c r="D49" s="23" t="str">
        <x:v>32 个基线界面</x:v>
      </x:c>
      <x:c r="E49" s="21" t="str">
        <x:v>素材裁切不伤主体</x:v>
      </x:c>
      <x:c r="F49" s="21" t="str">
        <x:v>耳朵、尾巴、按钮文字、建筑关键轮廓不被容器裁切</x:v>
      </x:c>
      <x:c r="G49" s="21" t="str">
        <x:v>小屏/横屏逐屏检查</x:v>
      </x:c>
      <x:c r="H49" s="21" t="str">
        <x:v>美术/适配</x:v>
      </x:c>
      <x:c r="I49" s="21" t="str">
        <x:v>全流程</x:v>
      </x:c>
      <x:c r="J49" s="21" t="str">
        <x:v>全平台</x:v>
      </x:c>
      <x:c r="K49" s="21" t="str"/>
      <x:c r="L49" s="29" t="str">
        <x:v>未检查</x:v>
      </x:c>
      <x:c r="M49" s="29" t="str">
        <x:v>未确认</x:v>
      </x:c>
      <x:c r="N49" s="29" t="str">
        <x:v>未确认</x:v>
      </x:c>
      <x:c r="O49" s="29" t="str"/>
      <x:c r="P49" s="29" t="str">
        <x:f>IF(OR(L49="未检查",L49="通过",L49="不适用"),"",IFERROR(VLOOKUP(M49,'口径与下拉'!$A$9:$B$14,2,FALSE),0)+IFERROR(VLOOKUP(N49,'口径与下拉'!$D$9:$E$14,2,FALSE),0)+O49)</x:f>
      </x:c>
      <x:c r="Q49" s="29" t="str"/>
      <x:c r="R49" s="29" t="str">
        <x:f>IF(P49="","",IF(P49&gt;=13,"P0",IF(P49&gt;=10,"P1",IF(P49&gt;=7,"P2","P3"))))</x:f>
      </x:c>
      <x:c r="S49" s="21" t="str"/>
      <x:c r="T49" s="21" t="str"/>
      <x:c r="U49" s="21" t="str"/>
      <x:c r="V49" s="31" t="str"/>
      <x:c r="W49" s="21" t="str"/>
      <x:c r="X49" s="21" t="str">
        <x:v>未复测</x:v>
      </x:c>
      <x:c r="Y49" s="21" t="str"/>
    </x:row>
    <x:row r="50" ht="52" customHeight="1">
      <x:c r="A50" s="27" t="str">
        <x:v>UX-046</x:v>
      </x:c>
      <x:c r="B50" s="23" t="str">
        <x:v>04 视觉风格与美术一致性</x:v>
      </x:c>
      <x:c r="C50" s="23" t="str">
        <x:v>视觉语言</x:v>
      </x:c>
      <x:c r="D50" s="23" t="str">
        <x:v>32 个基线界面</x:v>
      </x:c>
      <x:c r="E50" s="21" t="str">
        <x:v>图片清晰且不过度放大</x:v>
      </x:c>
      <x:c r="F50" s="21" t="str">
        <x:v>目标视口无明显模糊、锯齿、压缩色块或不必要大图</x:v>
      </x:c>
      <x:c r="G50" s="21" t="str">
        <x:v>原尺寸/显示尺寸/截图对照</x:v>
      </x:c>
      <x:c r="H50" s="21" t="str">
        <x:v>美术/性能</x:v>
      </x:c>
      <x:c r="I50" s="21" t="str">
        <x:v>全流程</x:v>
      </x:c>
      <x:c r="J50" s="21" t="str">
        <x:v>全平台</x:v>
      </x:c>
      <x:c r="K50" s="21" t="str"/>
      <x:c r="L50" s="29" t="str">
        <x:v>未检查</x:v>
      </x:c>
      <x:c r="M50" s="29" t="str">
        <x:v>未确认</x:v>
      </x:c>
      <x:c r="N50" s="29" t="str">
        <x:v>未确认</x:v>
      </x:c>
      <x:c r="O50" s="29" t="str"/>
      <x:c r="P50" s="29" t="str">
        <x:f>IF(OR(L50="未检查",L50="通过",L50="不适用"),"",IFERROR(VLOOKUP(M50,'口径与下拉'!$A$9:$B$14,2,FALSE),0)+IFERROR(VLOOKUP(N50,'口径与下拉'!$D$9:$E$14,2,FALSE),0)+O50)</x:f>
      </x:c>
      <x:c r="Q50" s="29" t="str"/>
      <x:c r="R50" s="29" t="str">
        <x:f>IF(P50="","",IF(P50&gt;=13,"P0",IF(P50&gt;=10,"P1",IF(P50&gt;=7,"P2","P3"))))</x:f>
      </x:c>
      <x:c r="S50" s="21" t="str"/>
      <x:c r="T50" s="21" t="str"/>
      <x:c r="U50" s="21" t="str"/>
      <x:c r="V50" s="31" t="str"/>
      <x:c r="W50" s="21" t="str"/>
      <x:c r="X50" s="21" t="str">
        <x:v>未复测</x:v>
      </x:c>
      <x:c r="Y50" s="21" t="str"/>
    </x:row>
    <x:row r="51" ht="52" customHeight="1">
      <x:c r="A51" s="27" t="str">
        <x:v>UX-047</x:v>
      </x:c>
      <x:c r="B51" s="23" t="str">
        <x:v>04 视觉风格与美术一致性</x:v>
      </x:c>
      <x:c r="C51" s="23" t="str">
        <x:v>视觉语言</x:v>
      </x:c>
      <x:c r="D51" s="23" t="str">
        <x:v>32 个基线界面</x:v>
      </x:c>
      <x:c r="E51" s="21" t="str">
        <x:v>透明素材边缘干净</x:v>
      </x:c>
      <x:c r="F51" s="21" t="str">
        <x:v>WebP/PNG 无白边、黑边、脏像素或错误预乘色</x:v>
      </x:c>
      <x:c r="G51" s="21" t="str">
        <x:v>深浅背景切换检查</x:v>
      </x:c>
      <x:c r="H51" s="21" t="str">
        <x:v>美术/品质</x:v>
      </x:c>
      <x:c r="I51" s="21" t="str">
        <x:v>全流程</x:v>
      </x:c>
      <x:c r="J51" s="21" t="str">
        <x:v>全平台</x:v>
      </x:c>
      <x:c r="K51" s="21" t="str"/>
      <x:c r="L51" s="29" t="str">
        <x:v>未检查</x:v>
      </x:c>
      <x:c r="M51" s="29" t="str">
        <x:v>未确认</x:v>
      </x:c>
      <x:c r="N51" s="29" t="str">
        <x:v>未确认</x:v>
      </x:c>
      <x:c r="O51" s="29" t="str"/>
      <x:c r="P51" s="29" t="str">
        <x:f>IF(OR(L51="未检查",L51="通过",L51="不适用"),"",IFERROR(VLOOKUP(M51,'口径与下拉'!$A$9:$B$14,2,FALSE),0)+IFERROR(VLOOKUP(N51,'口径与下拉'!$D$9:$E$14,2,FALSE),0)+O51)</x:f>
      </x:c>
      <x:c r="Q51" s="29" t="str"/>
      <x:c r="R51" s="29" t="str">
        <x:f>IF(P51="","",IF(P51&gt;=13,"P0",IF(P51&gt;=10,"P1",IF(P51&gt;=7,"P2","P3"))))</x:f>
      </x:c>
      <x:c r="S51" s="21" t="str"/>
      <x:c r="T51" s="21" t="str"/>
      <x:c r="U51" s="21" t="str"/>
      <x:c r="V51" s="31" t="str"/>
      <x:c r="W51" s="21" t="str"/>
      <x:c r="X51" s="21" t="str">
        <x:v>未复测</x:v>
      </x:c>
      <x:c r="Y51" s="21" t="str"/>
    </x:row>
    <x:row r="52" ht="52" customHeight="1">
      <x:c r="A52" s="27" t="str">
        <x:v>UX-048</x:v>
      </x:c>
      <x:c r="B52" s="23" t="str">
        <x:v>04 视觉风格与美术一致性</x:v>
      </x:c>
      <x:c r="C52" s="23" t="str">
        <x:v>视觉语言</x:v>
      </x:c>
      <x:c r="D52" s="23" t="str">
        <x:v>32 个基线界面</x:v>
      </x:c>
      <x:c r="E52" s="21" t="str">
        <x:v>无占位符与调试素材</x:v>
      </x:c>
      <x:c r="F52" s="21" t="str">
        <x:v>不出现 lorem、TODO、色块占位、调试框、旧 LOGO</x:v>
      </x:c>
      <x:c r="G52" s="21" t="str">
        <x:v>全资源与全屏巡检</x:v>
      </x:c>
      <x:c r="H52" s="21" t="str">
        <x:v>信任/品质</x:v>
      </x:c>
      <x:c r="I52" s="21" t="str">
        <x:v>全流程</x:v>
      </x:c>
      <x:c r="J52" s="21" t="str">
        <x:v>全平台</x:v>
      </x:c>
      <x:c r="K52" s="21" t="str"/>
      <x:c r="L52" s="29" t="str">
        <x:v>未检查</x:v>
      </x:c>
      <x:c r="M52" s="29" t="str">
        <x:v>未确认</x:v>
      </x:c>
      <x:c r="N52" s="29" t="str">
        <x:v>未确认</x:v>
      </x:c>
      <x:c r="O52" s="29" t="str"/>
      <x:c r="P52" s="29" t="str">
        <x:f>IF(OR(L52="未检查",L52="通过",L52="不适用"),"",IFERROR(VLOOKUP(M52,'口径与下拉'!$A$9:$B$14,2,FALSE),0)+IFERROR(VLOOKUP(N52,'口径与下拉'!$D$9:$E$14,2,FALSE),0)+O52)</x:f>
      </x:c>
      <x:c r="Q52" s="29" t="str"/>
      <x:c r="R52" s="29" t="str">
        <x:f>IF(P52="","",IF(P52&gt;=13,"P0",IF(P52&gt;=10,"P1",IF(P52&gt;=7,"P2","P3"))))</x:f>
      </x:c>
      <x:c r="S52" s="21" t="str"/>
      <x:c r="T52" s="21" t="str"/>
      <x:c r="U52" s="21" t="str"/>
      <x:c r="V52" s="31" t="str"/>
      <x:c r="W52" s="21" t="str"/>
      <x:c r="X52" s="21" t="str">
        <x:v>未复测</x:v>
      </x:c>
      <x:c r="Y52" s="21" t="str"/>
    </x:row>
    <x:row r="53" ht="52" customHeight="1">
      <x:c r="A53" s="27" t="str">
        <x:v>UX-049</x:v>
      </x:c>
      <x:c r="B53" s="23" t="str">
        <x:v>04 视觉风格与美术一致性</x:v>
      </x:c>
      <x:c r="C53" s="23" t="str">
        <x:v>视觉语言</x:v>
      </x:c>
      <x:c r="D53" s="23" t="str">
        <x:v>32 个基线界面</x:v>
      </x:c>
      <x:c r="E53" s="21" t="str">
        <x:v>动效与静态风格一致</x:v>
      </x:c>
      <x:c r="F53" s="21" t="str">
        <x:v>光效、粒子、弹跳不过度现代/廉价，不破坏水彩治愈气质</x:v>
      </x:c>
      <x:c r="G53" s="21" t="str">
        <x:v>合并、奖励、蜕变、解锁录屏</x:v>
      </x:c>
      <x:c r="H53" s="21" t="str">
        <x:v>情绪/品牌</x:v>
      </x:c>
      <x:c r="I53" s="21" t="str">
        <x:v>全流程</x:v>
      </x:c>
      <x:c r="J53" s="21" t="str">
        <x:v>全平台</x:v>
      </x:c>
      <x:c r="K53" s="21" t="str"/>
      <x:c r="L53" s="29" t="str">
        <x:v>未检查</x:v>
      </x:c>
      <x:c r="M53" s="29" t="str">
        <x:v>未确认</x:v>
      </x:c>
      <x:c r="N53" s="29" t="str">
        <x:v>未确认</x:v>
      </x:c>
      <x:c r="O53" s="29" t="str"/>
      <x:c r="P53" s="29" t="str">
        <x:f>IF(OR(L53="未检查",L53="通过",L53="不适用"),"",IFERROR(VLOOKUP(M53,'口径与下拉'!$A$9:$B$14,2,FALSE),0)+IFERROR(VLOOKUP(N53,'口径与下拉'!$D$9:$E$14,2,FALSE),0)+O53)</x:f>
      </x:c>
      <x:c r="Q53" s="29" t="str"/>
      <x:c r="R53" s="29" t="str">
        <x:f>IF(P53="","",IF(P53&gt;=13,"P0",IF(P53&gt;=10,"P1",IF(P53&gt;=7,"P2","P3"))))</x:f>
      </x:c>
      <x:c r="S53" s="21" t="str"/>
      <x:c r="T53" s="21" t="str"/>
      <x:c r="U53" s="21" t="str"/>
      <x:c r="V53" s="31" t="str"/>
      <x:c r="W53" s="21" t="str"/>
      <x:c r="X53" s="21" t="str">
        <x:v>未复测</x:v>
      </x:c>
      <x:c r="Y53" s="21" t="str"/>
    </x:row>
    <x:row r="54" ht="52" customHeight="1">
      <x:c r="A54" s="27" t="str">
        <x:v>UX-050</x:v>
      </x:c>
      <x:c r="B54" s="23" t="str">
        <x:v>04 视觉风格与美术一致性</x:v>
      </x:c>
      <x:c r="C54" s="23" t="str">
        <x:v>视觉语言</x:v>
      </x:c>
      <x:c r="D54" s="23" t="str">
        <x:v>32 个基线界面</x:v>
      </x:c>
      <x:c r="E54" s="21" t="str">
        <x:v>素材来源与授权可追溯</x:v>
      </x:c>
      <x:c r="F54" s="21" t="str">
        <x:v>字体、音频、图片和视频具备来源/许可记录，发行包不含无权素材</x:v>
      </x:c>
      <x:c r="G54" s="21" t="str">
        <x:v>资源清单与许可证审查</x:v>
      </x:c>
      <x:c r="H54" s="21" t="str">
        <x:v>合规/信任</x:v>
      </x:c>
      <x:c r="I54" s="21" t="str">
        <x:v>全流程</x:v>
      </x:c>
      <x:c r="J54" s="21" t="str">
        <x:v>全平台</x:v>
      </x:c>
      <x:c r="K54" s="21" t="str"/>
      <x:c r="L54" s="29" t="str">
        <x:v>未检查</x:v>
      </x:c>
      <x:c r="M54" s="29" t="str">
        <x:v>未确认</x:v>
      </x:c>
      <x:c r="N54" s="29" t="str">
        <x:v>未确认</x:v>
      </x:c>
      <x:c r="O54" s="29" t="str"/>
      <x:c r="P54" s="29" t="str">
        <x:f>IF(OR(L54="未检查",L54="通过",L54="不适用"),"",IFERROR(VLOOKUP(M54,'口径与下拉'!$A$9:$B$14,2,FALSE),0)+IFERROR(VLOOKUP(N54,'口径与下拉'!$D$9:$E$14,2,FALSE),0)+O54)</x:f>
      </x:c>
      <x:c r="Q54" s="29" t="str"/>
      <x:c r="R54" s="29" t="str">
        <x:f>IF(P54="","",IF(P54&gt;=13,"P0",IF(P54&gt;=10,"P1",IF(P54&gt;=7,"P2","P3"))))</x:f>
      </x:c>
      <x:c r="S54" s="21" t="str"/>
      <x:c r="T54" s="21" t="str"/>
      <x:c r="U54" s="21" t="str"/>
      <x:c r="V54" s="31" t="str"/>
      <x:c r="W54" s="21" t="str"/>
      <x:c r="X54" s="21" t="str">
        <x:v>未复测</x:v>
      </x:c>
      <x:c r="Y54" s="21" t="str"/>
    </x:row>
    <x:row r="55" ht="52" customHeight="1">
      <x:c r="A55" s="27" t="str">
        <x:v>UX-051</x:v>
      </x:c>
      <x:c r="B55" s="23" t="str">
        <x:v>05 布局、层级与可读性</x:v>
      </x:c>
      <x:c r="C55" s="23" t="str">
        <x:v>移动端信息呈现</x:v>
      </x:c>
      <x:c r="D55" s="23" t="str">
        <x:v>全局 UI</x:v>
      </x:c>
      <x:c r="E55" s="21" t="str">
        <x:v>320×568 仍可完成全部关键操作</x:v>
      </x:c>
      <x:c r="F55" s="21" t="str">
        <x:v>目标栏、49 格棋盘、快捷工具和底栏均不丢失</x:v>
      </x:c>
      <x:c r="G55" s="21" t="str">
        <x:v>真实浏览器逐流程</x:v>
      </x:c>
      <x:c r="H55" s="21" t="str">
        <x:v>操作/适配</x:v>
      </x:c>
      <x:c r="I55" s="21" t="str">
        <x:v>全流程</x:v>
      </x:c>
      <x:c r="J55" s="21" t="str">
        <x:v>H5移动竖屏</x:v>
      </x:c>
      <x:c r="K55" s="21" t="str"/>
      <x:c r="L55" s="29" t="str">
        <x:v>未检查</x:v>
      </x:c>
      <x:c r="M55" s="29" t="str">
        <x:v>未确认</x:v>
      </x:c>
      <x:c r="N55" s="29" t="str">
        <x:v>未确认</x:v>
      </x:c>
      <x:c r="O55" s="29" t="str"/>
      <x:c r="P55" s="29" t="str">
        <x:f>IF(OR(L55="未检查",L55="通过",L55="不适用"),"",IFERROR(VLOOKUP(M55,'口径与下拉'!$A$9:$B$14,2,FALSE),0)+IFERROR(VLOOKUP(N55,'口径与下拉'!$D$9:$E$14,2,FALSE),0)+O55)</x:f>
      </x:c>
      <x:c r="Q55" s="29" t="str"/>
      <x:c r="R55" s="29" t="str">
        <x:f>IF(P55="","",IF(P55&gt;=13,"P0",IF(P55&gt;=10,"P1",IF(P55&gt;=7,"P2","P3"))))</x:f>
      </x:c>
      <x:c r="S55" s="21" t="str"/>
      <x:c r="T55" s="21" t="str"/>
      <x:c r="U55" s="21" t="str"/>
      <x:c r="V55" s="31" t="str"/>
      <x:c r="W55" s="21" t="str"/>
      <x:c r="X55" s="21" t="str">
        <x:v>未复测</x:v>
      </x:c>
      <x:c r="Y55" s="21" t="str"/>
    </x:row>
    <x:row r="56" ht="52" customHeight="1">
      <x:c r="A56" s="27" t="str">
        <x:v>UX-052</x:v>
      </x:c>
      <x:c r="B56" s="23" t="str">
        <x:v>05 布局、层级与可读性</x:v>
      </x:c>
      <x:c r="C56" s="23" t="str">
        <x:v>移动端信息呈现</x:v>
      </x:c>
      <x:c r="D56" s="23" t="str">
        <x:v>全局 UI</x:v>
      </x:c>
      <x:c r="E56" s="21" t="str">
        <x:v>390×844 基准布局无偏移</x:v>
      </x:c>
      <x:c r="F56" s="21" t="str">
        <x:v>与当前 canonical 基线一致，核心元素无意外位移</x:v>
      </x:c>
      <x:c r="G56" s="21" t="str">
        <x:v>严格视觉差分 + 人工复核</x:v>
      </x:c>
      <x:c r="H56" s="21" t="str">
        <x:v>品质/回归</x:v>
      </x:c>
      <x:c r="I56" s="21" t="str">
        <x:v>全流程</x:v>
      </x:c>
      <x:c r="J56" s="21" t="str">
        <x:v>全平台</x:v>
      </x:c>
      <x:c r="K56" s="21" t="str"/>
      <x:c r="L56" s="29" t="str">
        <x:v>未检查</x:v>
      </x:c>
      <x:c r="M56" s="29" t="str">
        <x:v>未确认</x:v>
      </x:c>
      <x:c r="N56" s="29" t="str">
        <x:v>未确认</x:v>
      </x:c>
      <x:c r="O56" s="29" t="str"/>
      <x:c r="P56" s="29" t="str">
        <x:f>IF(OR(L56="未检查",L56="通过",L56="不适用"),"",IFERROR(VLOOKUP(M56,'口径与下拉'!$A$9:$B$14,2,FALSE),0)+IFERROR(VLOOKUP(N56,'口径与下拉'!$D$9:$E$14,2,FALSE),0)+O56)</x:f>
      </x:c>
      <x:c r="Q56" s="29" t="str"/>
      <x:c r="R56" s="29" t="str">
        <x:f>IF(P56="","",IF(P56&gt;=13,"P0",IF(P56&gt;=10,"P1",IF(P56&gt;=7,"P2","P3"))))</x:f>
      </x:c>
      <x:c r="S56" s="21" t="str"/>
      <x:c r="T56" s="21" t="str"/>
      <x:c r="U56" s="21" t="str"/>
      <x:c r="V56" s="31" t="str"/>
      <x:c r="W56" s="21" t="str"/>
      <x:c r="X56" s="21" t="str">
        <x:v>未复测</x:v>
      </x:c>
      <x:c r="Y56" s="21" t="str"/>
    </x:row>
    <x:row r="57" ht="52" customHeight="1">
      <x:c r="A57" s="27" t="str">
        <x:v>UX-053</x:v>
      </x:c>
      <x:c r="B57" s="23" t="str">
        <x:v>05 布局、层级与可读性</x:v>
      </x:c>
      <x:c r="C57" s="23" t="str">
        <x:v>移动端信息呈现</x:v>
      </x:c>
      <x:c r="D57" s="23" t="str">
        <x:v>全局 UI</x:v>
      </x:c>
      <x:c r="E57" s="21" t="str">
        <x:v>430×932 不出现过度留白或拉伸</x:v>
      </x:c>
      <x:c r="F57" s="21" t="str">
        <x:v>大屏竖屏保持视觉重心和合适信息密度</x:v>
      </x:c>
      <x:c r="G57" s="21" t="str">
        <x:v>截图对比</x:v>
      </x:c>
      <x:c r="H57" s="21" t="str">
        <x:v>美术/适配</x:v>
      </x:c>
      <x:c r="I57" s="21" t="str">
        <x:v>全流程</x:v>
      </x:c>
      <x:c r="J57" s="21" t="str">
        <x:v>全平台</x:v>
      </x:c>
      <x:c r="K57" s="21" t="str"/>
      <x:c r="L57" s="29" t="str">
        <x:v>未检查</x:v>
      </x:c>
      <x:c r="M57" s="29" t="str">
        <x:v>未确认</x:v>
      </x:c>
      <x:c r="N57" s="29" t="str">
        <x:v>未确认</x:v>
      </x:c>
      <x:c r="O57" s="29" t="str"/>
      <x:c r="P57" s="29" t="str">
        <x:f>IF(OR(L57="未检查",L57="通过",L57="不适用"),"",IFERROR(VLOOKUP(M57,'口径与下拉'!$A$9:$B$14,2,FALSE),0)+IFERROR(VLOOKUP(N57,'口径与下拉'!$D$9:$E$14,2,FALSE),0)+O57)</x:f>
      </x:c>
      <x:c r="Q57" s="29" t="str"/>
      <x:c r="R57" s="29" t="str">
        <x:f>IF(P57="","",IF(P57&gt;=13,"P0",IF(P57&gt;=10,"P1",IF(P57&gt;=7,"P2","P3"))))</x:f>
      </x:c>
      <x:c r="S57" s="21" t="str"/>
      <x:c r="T57" s="21" t="str"/>
      <x:c r="U57" s="21" t="str"/>
      <x:c r="V57" s="31" t="str"/>
      <x:c r="W57" s="21" t="str"/>
      <x:c r="X57" s="21" t="str">
        <x:v>未复测</x:v>
      </x:c>
      <x:c r="Y57" s="21" t="str"/>
    </x:row>
    <x:row r="58" ht="52" customHeight="1">
      <x:c r="A58" s="27" t="str">
        <x:v>UX-054</x:v>
      </x:c>
      <x:c r="B58" s="23" t="str">
        <x:v>05 布局、层级与可读性</x:v>
      </x:c>
      <x:c r="C58" s="23" t="str">
        <x:v>移动端信息呈现</x:v>
      </x:c>
      <x:c r="D58" s="23" t="str">
        <x:v>全局 UI</x:v>
      </x:c>
      <x:c r="E58" s="21" t="str">
        <x:v>844×390 横屏可操作</x:v>
      </x:c>
      <x:c r="F58" s="21" t="str">
        <x:v>不要求旋回竖屏才能关闭弹窗、保存或继续</x:v>
      </x:c>
      <x:c r="G58" s="21" t="str">
        <x:v>横屏完整关键路径</x:v>
      </x:c>
      <x:c r="H58" s="21" t="str">
        <x:v>操作/适配</x:v>
      </x:c>
      <x:c r="I58" s="21" t="str">
        <x:v>全流程</x:v>
      </x:c>
      <x:c r="J58" s="21" t="str">
        <x:v>H5横屏</x:v>
      </x:c>
      <x:c r="K58" s="21" t="str"/>
      <x:c r="L58" s="29" t="str">
        <x:v>未检查</x:v>
      </x:c>
      <x:c r="M58" s="29" t="str">
        <x:v>未确认</x:v>
      </x:c>
      <x:c r="N58" s="29" t="str">
        <x:v>未确认</x:v>
      </x:c>
      <x:c r="O58" s="29" t="str"/>
      <x:c r="P58" s="29" t="str">
        <x:f>IF(OR(L58="未检查",L58="通过",L58="不适用"),"",IFERROR(VLOOKUP(M58,'口径与下拉'!$A$9:$B$14,2,FALSE),0)+IFERROR(VLOOKUP(N58,'口径与下拉'!$D$9:$E$14,2,FALSE),0)+O58)</x:f>
      </x:c>
      <x:c r="Q58" s="29" t="str"/>
      <x:c r="R58" s="29" t="str">
        <x:f>IF(P58="","",IF(P58&gt;=13,"P0",IF(P58&gt;=10,"P1",IF(P58&gt;=7,"P2","P3"))))</x:f>
      </x:c>
      <x:c r="S58" s="21" t="str"/>
      <x:c r="T58" s="21" t="str"/>
      <x:c r="U58" s="21" t="str"/>
      <x:c r="V58" s="31" t="str"/>
      <x:c r="W58" s="21" t="str"/>
      <x:c r="X58" s="21" t="str">
        <x:v>未复测</x:v>
      </x:c>
      <x:c r="Y58" s="21" t="str"/>
    </x:row>
    <x:row r="59" ht="52" customHeight="1">
      <x:c r="A59" s="27" t="str">
        <x:v>UX-055</x:v>
      </x:c>
      <x:c r="B59" s="23" t="str">
        <x:v>05 布局、层级与可读性</x:v>
      </x:c>
      <x:c r="C59" s="23" t="str">
        <x:v>移动端信息呈现</x:v>
      </x:c>
      <x:c r="D59" s="23" t="str">
        <x:v>全局 UI</x:v>
      </x:c>
      <x:c r="E59" s="21" t="str">
        <x:v>安全区处理正确</x:v>
      </x:c>
      <x:c r="F59" s="21" t="str">
        <x:v>刘海、圆角、底部手势区不遮标题、返回、底栏和确认按钮</x:v>
      </x:c>
      <x:c r="G59" s="21" t="str">
        <x:v>带 safe-area 设备模拟</x:v>
      </x:c>
      <x:c r="H59" s="21" t="str">
        <x:v>理解/操作</x:v>
      </x:c>
      <x:c r="I59" s="21" t="str">
        <x:v>全流程</x:v>
      </x:c>
      <x:c r="J59" s="21" t="str">
        <x:v>全平台</x:v>
      </x:c>
      <x:c r="K59" s="21" t="str"/>
      <x:c r="L59" s="29" t="str">
        <x:v>未检查</x:v>
      </x:c>
      <x:c r="M59" s="29" t="str">
        <x:v>未确认</x:v>
      </x:c>
      <x:c r="N59" s="29" t="str">
        <x:v>未确认</x:v>
      </x:c>
      <x:c r="O59" s="29" t="str"/>
      <x:c r="P59" s="29" t="str">
        <x:f>IF(OR(L59="未检查",L59="通过",L59="不适用"),"",IFERROR(VLOOKUP(M59,'口径与下拉'!$A$9:$B$14,2,FALSE),0)+IFERROR(VLOOKUP(N59,'口径与下拉'!$D$9:$E$14,2,FALSE),0)+O59)</x:f>
      </x:c>
      <x:c r="Q59" s="29" t="str"/>
      <x:c r="R59" s="29" t="str">
        <x:f>IF(P59="","",IF(P59&gt;=13,"P0",IF(P59&gt;=10,"P1",IF(P59&gt;=7,"P2","P3"))))</x:f>
      </x:c>
      <x:c r="S59" s="21" t="str"/>
      <x:c r="T59" s="21" t="str"/>
      <x:c r="U59" s="21" t="str"/>
      <x:c r="V59" s="31" t="str"/>
      <x:c r="W59" s="21" t="str"/>
      <x:c r="X59" s="21" t="str">
        <x:v>未复测</x:v>
      </x:c>
      <x:c r="Y59" s="21" t="str"/>
    </x:row>
    <x:row r="60" ht="52" customHeight="1">
      <x:c r="A60" s="27" t="str">
        <x:v>UX-056</x:v>
      </x:c>
      <x:c r="B60" s="23" t="str">
        <x:v>05 布局、层级与可读性</x:v>
      </x:c>
      <x:c r="C60" s="23" t="str">
        <x:v>移动端信息呈现</x:v>
      </x:c>
      <x:c r="D60" s="23" t="str">
        <x:v>全局 UI</x:v>
      </x:c>
      <x:c r="E60" s="21" t="str">
        <x:v>信息层级三秒可读</x:v>
      </x:c>
      <x:c r="F60" s="21" t="str">
        <x:v>玩家三秒内能指出当前资源、目标、主动作和进度</x:v>
      </x:c>
      <x:c r="G60" s="21" t="str">
        <x:v>5 秒测试/首次观察</x:v>
      </x:c>
      <x:c r="H60" s="21" t="str">
        <x:v>理解/导航</x:v>
      </x:c>
      <x:c r="I60" s="21" t="str">
        <x:v>全流程</x:v>
      </x:c>
      <x:c r="J60" s="21" t="str">
        <x:v>全平台</x:v>
      </x:c>
      <x:c r="K60" s="21" t="str"/>
      <x:c r="L60" s="29" t="str">
        <x:v>未检查</x:v>
      </x:c>
      <x:c r="M60" s="29" t="str">
        <x:v>未确认</x:v>
      </x:c>
      <x:c r="N60" s="29" t="str">
        <x:v>未确认</x:v>
      </x:c>
      <x:c r="O60" s="29" t="str"/>
      <x:c r="P60" s="29" t="str">
        <x:f>IF(OR(L60="未检查",L60="通过",L60="不适用"),"",IFERROR(VLOOKUP(M60,'口径与下拉'!$A$9:$B$14,2,FALSE),0)+IFERROR(VLOOKUP(N60,'口径与下拉'!$D$9:$E$14,2,FALSE),0)+O60)</x:f>
      </x:c>
      <x:c r="Q60" s="29" t="str"/>
      <x:c r="R60" s="29" t="str">
        <x:f>IF(P60="","",IF(P60&gt;=13,"P0",IF(P60&gt;=10,"P1",IF(P60&gt;=7,"P2","P3"))))</x:f>
      </x:c>
      <x:c r="S60" s="21" t="str"/>
      <x:c r="T60" s="21" t="str"/>
      <x:c r="U60" s="21" t="str"/>
      <x:c r="V60" s="31" t="str"/>
      <x:c r="W60" s="21" t="str"/>
      <x:c r="X60" s="21" t="str">
        <x:v>未复测</x:v>
      </x:c>
      <x:c r="Y60" s="21" t="str"/>
    </x:row>
    <x:row r="61" ht="52" customHeight="1">
      <x:c r="A61" s="27" t="str">
        <x:v>UX-057</x:v>
      </x:c>
      <x:c r="B61" s="23" t="str">
        <x:v>05 布局、层级与可读性</x:v>
      </x:c>
      <x:c r="C61" s="23" t="str">
        <x:v>移动端信息呈现</x:v>
      </x:c>
      <x:c r="D61" s="23" t="str">
        <x:v>全局 UI</x:v>
      </x:c>
      <x:c r="E61" s="21" t="str">
        <x:v>正文与标签字号可读</x:v>
      </x:c>
      <x:c r="F61" s="21" t="str">
        <x:v>无需缩放即可读清；次要文字不以过浅灰隐藏信息</x:v>
      </x:c>
      <x:c r="G61" s="21" t="str">
        <x:v>不同亮度与普通视力检查</x:v>
      </x:c>
      <x:c r="H61" s="21" t="str">
        <x:v>可读性</x:v>
      </x:c>
      <x:c r="I61" s="21" t="str">
        <x:v>全流程</x:v>
      </x:c>
      <x:c r="J61" s="21" t="str">
        <x:v>全平台</x:v>
      </x:c>
      <x:c r="K61" s="21" t="str"/>
      <x:c r="L61" s="29" t="str">
        <x:v>未检查</x:v>
      </x:c>
      <x:c r="M61" s="29" t="str">
        <x:v>未确认</x:v>
      </x:c>
      <x:c r="N61" s="29" t="str">
        <x:v>未确认</x:v>
      </x:c>
      <x:c r="O61" s="29" t="str"/>
      <x:c r="P61" s="29" t="str">
        <x:f>IF(OR(L61="未检查",L61="通过",L61="不适用"),"",IFERROR(VLOOKUP(M61,'口径与下拉'!$A$9:$B$14,2,FALSE),0)+IFERROR(VLOOKUP(N61,'口径与下拉'!$D$9:$E$14,2,FALSE),0)+O61)</x:f>
      </x:c>
      <x:c r="Q61" s="29" t="str"/>
      <x:c r="R61" s="29" t="str">
        <x:f>IF(P61="","",IF(P61&gt;=13,"P0",IF(P61&gt;=10,"P1",IF(P61&gt;=7,"P2","P3"))))</x:f>
      </x:c>
      <x:c r="S61" s="21" t="str"/>
      <x:c r="T61" s="21" t="str"/>
      <x:c r="U61" s="21" t="str"/>
      <x:c r="V61" s="31" t="str"/>
      <x:c r="W61" s="21" t="str"/>
      <x:c r="X61" s="21" t="str">
        <x:v>未复测</x:v>
      </x:c>
      <x:c r="Y61" s="21" t="str"/>
    </x:row>
    <x:row r="62" ht="52" customHeight="1">
      <x:c r="A62" s="27" t="str">
        <x:v>UX-058</x:v>
      </x:c>
      <x:c r="B62" s="23" t="str">
        <x:v>05 布局、层级与可读性</x:v>
      </x:c>
      <x:c r="C62" s="23" t="str">
        <x:v>移动端信息呈现</x:v>
      </x:c>
      <x:c r="D62" s="23" t="str">
        <x:v>全局 UI</x:v>
      </x:c>
      <x:c r="E62" s="21" t="str">
        <x:v>长文本与长数字不截断</x:v>
      </x:c>
      <x:c r="F62" s="21" t="str">
        <x:v>剧情、物品名、万级数值、百分比和版本号均可完整理解</x:v>
      </x:c>
      <x:c r="G62" s="21" t="str">
        <x:v>边界数据注入/截图</x:v>
      </x:c>
      <x:c r="H62" s="21" t="str">
        <x:v>可读性/适配</x:v>
      </x:c>
      <x:c r="I62" s="21" t="str">
        <x:v>全流程</x:v>
      </x:c>
      <x:c r="J62" s="21" t="str">
        <x:v>全平台</x:v>
      </x:c>
      <x:c r="K62" s="21" t="str"/>
      <x:c r="L62" s="29" t="str">
        <x:v>未检查</x:v>
      </x:c>
      <x:c r="M62" s="29" t="str">
        <x:v>未确认</x:v>
      </x:c>
      <x:c r="N62" s="29" t="str">
        <x:v>未确认</x:v>
      </x:c>
      <x:c r="O62" s="29" t="str"/>
      <x:c r="P62" s="29" t="str">
        <x:f>IF(OR(L62="未检查",L62="通过",L62="不适用"),"",IFERROR(VLOOKUP(M62,'口径与下拉'!$A$9:$B$14,2,FALSE),0)+IFERROR(VLOOKUP(N62,'口径与下拉'!$D$9:$E$14,2,FALSE),0)+O62)</x:f>
      </x:c>
      <x:c r="Q62" s="29" t="str"/>
      <x:c r="R62" s="29" t="str">
        <x:f>IF(P62="","",IF(P62&gt;=13,"P0",IF(P62&gt;=10,"P1",IF(P62&gt;=7,"P2","P3"))))</x:f>
      </x:c>
      <x:c r="S62" s="21" t="str"/>
      <x:c r="T62" s="21" t="str"/>
      <x:c r="U62" s="21" t="str"/>
      <x:c r="V62" s="31" t="str"/>
      <x:c r="W62" s="21" t="str"/>
      <x:c r="X62" s="21" t="str">
        <x:v>未复测</x:v>
      </x:c>
      <x:c r="Y62" s="21" t="str"/>
    </x:row>
    <x:row r="63" ht="52" customHeight="1">
      <x:c r="A63" s="27" t="str">
        <x:v>UX-059</x:v>
      </x:c>
      <x:c r="B63" s="23" t="str">
        <x:v>05 布局、层级与可读性</x:v>
      </x:c>
      <x:c r="C63" s="23" t="str">
        <x:v>移动端信息呈现</x:v>
      </x:c>
      <x:c r="D63" s="23" t="str">
        <x:v>全局 UI</x:v>
      </x:c>
      <x:c r="E63" s="21" t="str">
        <x:v>滚动区域边界明确</x:v>
      </x:c>
      <x:c r="F63" s="21" t="str">
        <x:v>页面与内层列表不抢滚动；底部内容可完整到达</x:v>
      </x:c>
      <x:c r="G63" s="21" t="str">
        <x:v>快速/慢速滑动与键盘滚动</x:v>
      </x:c>
      <x:c r="H63" s="21" t="str">
        <x:v>理解/操作</x:v>
      </x:c>
      <x:c r="I63" s="21" t="str">
        <x:v>全流程</x:v>
      </x:c>
      <x:c r="J63" s="21" t="str">
        <x:v>全平台</x:v>
      </x:c>
      <x:c r="K63" s="21" t="str"/>
      <x:c r="L63" s="29" t="str">
        <x:v>未检查</x:v>
      </x:c>
      <x:c r="M63" s="29" t="str">
        <x:v>未确认</x:v>
      </x:c>
      <x:c r="N63" s="29" t="str">
        <x:v>未确认</x:v>
      </x:c>
      <x:c r="O63" s="29" t="str"/>
      <x:c r="P63" s="29" t="str">
        <x:f>IF(OR(L63="未检查",L63="通过",L63="不适用"),"",IFERROR(VLOOKUP(M63,'口径与下拉'!$A$9:$B$14,2,FALSE),0)+IFERROR(VLOOKUP(N63,'口径与下拉'!$D$9:$E$14,2,FALSE),0)+O63)</x:f>
      </x:c>
      <x:c r="Q63" s="29" t="str"/>
      <x:c r="R63" s="29" t="str">
        <x:f>IF(P63="","",IF(P63&gt;=13,"P0",IF(P63&gt;=10,"P1",IF(P63&gt;=7,"P2","P3"))))</x:f>
      </x:c>
      <x:c r="S63" s="21" t="str"/>
      <x:c r="T63" s="21" t="str"/>
      <x:c r="U63" s="21" t="str"/>
      <x:c r="V63" s="31" t="str"/>
      <x:c r="W63" s="21" t="str"/>
      <x:c r="X63" s="21" t="str">
        <x:v>未复测</x:v>
      </x:c>
      <x:c r="Y63" s="21" t="str"/>
    </x:row>
    <x:row r="64" ht="52" customHeight="1">
      <x:c r="A64" s="27" t="str">
        <x:v>UX-060</x:v>
      </x:c>
      <x:c r="B64" s="23" t="str">
        <x:v>05 布局、层级与可读性</x:v>
      </x:c>
      <x:c r="C64" s="23" t="str">
        <x:v>移动端信息呈现</x:v>
      </x:c>
      <x:c r="D64" s="23" t="str">
        <x:v>全局 UI</x:v>
      </x:c>
      <x:c r="E64" s="21" t="str">
        <x:v>弹窗高度自适应</x:v>
      </x:c>
      <x:c r="F64" s="21" t="str">
        <x:v>小屏、字体放大、键盘弹出时确认按钮仍可见或可滚到</x:v>
      </x:c>
      <x:c r="G64" s="21" t="str">
        <x:v>320×568 + 200% 缩放</x:v>
      </x:c>
      <x:c r="H64" s="21" t="str">
        <x:v>理解/操作</x:v>
      </x:c>
      <x:c r="I64" s="21" t="str">
        <x:v>全流程</x:v>
      </x:c>
      <x:c r="J64" s="21" t="str">
        <x:v>全平台</x:v>
      </x:c>
      <x:c r="K64" s="21" t="str"/>
      <x:c r="L64" s="29" t="str">
        <x:v>未检查</x:v>
      </x:c>
      <x:c r="M64" s="29" t="str">
        <x:v>未确认</x:v>
      </x:c>
      <x:c r="N64" s="29" t="str">
        <x:v>未确认</x:v>
      </x:c>
      <x:c r="O64" s="29" t="str"/>
      <x:c r="P64" s="29" t="str">
        <x:f>IF(OR(L64="未检查",L64="通过",L64="不适用"),"",IFERROR(VLOOKUP(M64,'口径与下拉'!$A$9:$B$14,2,FALSE),0)+IFERROR(VLOOKUP(N64,'口径与下拉'!$D$9:$E$14,2,FALSE),0)+O64)</x:f>
      </x:c>
      <x:c r="Q64" s="29" t="str"/>
      <x:c r="R64" s="29" t="str">
        <x:f>IF(P64="","",IF(P64&gt;=13,"P0",IF(P64&gt;=10,"P1",IF(P64&gt;=7,"P2","P3"))))</x:f>
      </x:c>
      <x:c r="S64" s="21" t="str"/>
      <x:c r="T64" s="21" t="str"/>
      <x:c r="U64" s="21" t="str"/>
      <x:c r="V64" s="31" t="str"/>
      <x:c r="W64" s="21" t="str"/>
      <x:c r="X64" s="21" t="str">
        <x:v>未复测</x:v>
      </x:c>
      <x:c r="Y64" s="21" t="str"/>
    </x:row>
    <x:row r="65" ht="52" customHeight="1">
      <x:c r="A65" s="27" t="str">
        <x:v>UX-061</x:v>
      </x:c>
      <x:c r="B65" s="23" t="str">
        <x:v>05 布局、层级与可读性</x:v>
      </x:c>
      <x:c r="C65" s="23" t="str">
        <x:v>移动端信息呈现</x:v>
      </x:c>
      <x:c r="D65" s="23" t="str">
        <x:v>全局 UI</x:v>
      </x:c>
      <x:c r="E65" s="21" t="str">
        <x:v>资源单位与格式一致</x:v>
      </x:c>
      <x:c r="F65" s="21" t="str">
        <x:v>暖玉、灵力、宗门阅历、阶位、日期和时间格式全局统一</x:v>
      </x:c>
      <x:c r="G65" s="21" t="str">
        <x:v>跨页数值格式审查</x:v>
      </x:c>
      <x:c r="H65" s="21" t="str">
        <x:v>理解/文案</x:v>
      </x:c>
      <x:c r="I65" s="21" t="str">
        <x:v>全流程</x:v>
      </x:c>
      <x:c r="J65" s="21" t="str">
        <x:v>全平台</x:v>
      </x:c>
      <x:c r="K65" s="21" t="str"/>
      <x:c r="L65" s="29" t="str">
        <x:v>未检查</x:v>
      </x:c>
      <x:c r="M65" s="29" t="str">
        <x:v>未确认</x:v>
      </x:c>
      <x:c r="N65" s="29" t="str">
        <x:v>未确认</x:v>
      </x:c>
      <x:c r="O65" s="29" t="str"/>
      <x:c r="P65" s="29" t="str">
        <x:f>IF(OR(L65="未检查",L65="通过",L65="不适用"),"",IFERROR(VLOOKUP(M65,'口径与下拉'!$A$9:$B$14,2,FALSE),0)+IFERROR(VLOOKUP(N65,'口径与下拉'!$D$9:$E$14,2,FALSE),0)+O65)</x:f>
      </x:c>
      <x:c r="Q65" s="29" t="str"/>
      <x:c r="R65" s="29" t="str">
        <x:f>IF(P65="","",IF(P65&gt;=13,"P0",IF(P65&gt;=10,"P1",IF(P65&gt;=7,"P2","P3"))))</x:f>
      </x:c>
      <x:c r="S65" s="21" t="str"/>
      <x:c r="T65" s="21" t="str"/>
      <x:c r="U65" s="21" t="str"/>
      <x:c r="V65" s="31" t="str"/>
      <x:c r="W65" s="21" t="str"/>
      <x:c r="X65" s="21" t="str">
        <x:v>未复测</x:v>
      </x:c>
      <x:c r="Y65" s="21" t="str"/>
    </x:row>
    <x:row r="66" ht="52" customHeight="1">
      <x:c r="A66" s="27" t="str">
        <x:v>UX-062</x:v>
      </x:c>
      <x:c r="B66" s="23" t="str">
        <x:v>05 布局、层级与可读性</x:v>
      </x:c>
      <x:c r="C66" s="23" t="str">
        <x:v>移动端信息呈现</x:v>
      </x:c>
      <x:c r="D66" s="23" t="str">
        <x:v>全局 UI</x:v>
      </x:c>
      <x:c r="E66" s="21" t="str">
        <x:v>空态不伪装成故障</x:v>
      </x:c>
      <x:c r="F66" s="21" t="str">
        <x:v>无任务、无神兽、无配方等状态有解释与下一步</x:v>
      </x:c>
      <x:c r="G66" s="21" t="str">
        <x:v>构造空数据状态</x:v>
      </x:c>
      <x:c r="H66" s="21" t="str">
        <x:v>理解/操作</x:v>
      </x:c>
      <x:c r="I66" s="21" t="str">
        <x:v>全流程</x:v>
      </x:c>
      <x:c r="J66" s="21" t="str">
        <x:v>全平台</x:v>
      </x:c>
      <x:c r="K66" s="21" t="str"/>
      <x:c r="L66" s="29" t="str">
        <x:v>未检查</x:v>
      </x:c>
      <x:c r="M66" s="29" t="str">
        <x:v>未确认</x:v>
      </x:c>
      <x:c r="N66" s="29" t="str">
        <x:v>未确认</x:v>
      </x:c>
      <x:c r="O66" s="29" t="str"/>
      <x:c r="P66" s="29" t="str">
        <x:f>IF(OR(L66="未检查",L66="通过",L66="不适用"),"",IFERROR(VLOOKUP(M66,'口径与下拉'!$A$9:$B$14,2,FALSE),0)+IFERROR(VLOOKUP(N66,'口径与下拉'!$D$9:$E$14,2,FALSE),0)+O66)</x:f>
      </x:c>
      <x:c r="Q66" s="29" t="str"/>
      <x:c r="R66" s="29" t="str">
        <x:f>IF(P66="","",IF(P66&gt;=13,"P0",IF(P66&gt;=10,"P1",IF(P66&gt;=7,"P2","P3"))))</x:f>
      </x:c>
      <x:c r="S66" s="21" t="str"/>
      <x:c r="T66" s="21" t="str"/>
      <x:c r="U66" s="21" t="str"/>
      <x:c r="V66" s="31" t="str"/>
      <x:c r="W66" s="21" t="str"/>
      <x:c r="X66" s="21" t="str">
        <x:v>未复测</x:v>
      </x:c>
      <x:c r="Y66" s="21" t="str"/>
    </x:row>
    <x:row r="67" ht="52" customHeight="1">
      <x:c r="A67" s="27" t="str">
        <x:v>UX-063</x:v>
      </x:c>
      <x:c r="B67" s="23" t="str">
        <x:v>05 布局、层级与可读性</x:v>
      </x:c>
      <x:c r="C67" s="23" t="str">
        <x:v>移动端信息呈现</x:v>
      </x:c>
      <x:c r="D67" s="23" t="str">
        <x:v>全局 UI</x:v>
      </x:c>
      <x:c r="E67" s="21" t="str">
        <x:v>密集区域仍可扫读</x:v>
      </x:c>
      <x:c r="F67" s="21" t="str">
        <x:v>订单、药匣、图鉴、旅程记录可按分组与留白快速浏览</x:v>
      </x:c>
      <x:c r="G67" s="21" t="str">
        <x:v>信息密度检查</x:v>
      </x:c>
      <x:c r="H67" s="21" t="str">
        <x:v>理解/操作</x:v>
      </x:c>
      <x:c r="I67" s="21" t="str">
        <x:v>全流程</x:v>
      </x:c>
      <x:c r="J67" s="21" t="str">
        <x:v>全平台</x:v>
      </x:c>
      <x:c r="K67" s="21" t="str"/>
      <x:c r="L67" s="29" t="str">
        <x:v>未检查</x:v>
      </x:c>
      <x:c r="M67" s="29" t="str">
        <x:v>未确认</x:v>
      </x:c>
      <x:c r="N67" s="29" t="str">
        <x:v>未确认</x:v>
      </x:c>
      <x:c r="O67" s="29" t="str"/>
      <x:c r="P67" s="29" t="str">
        <x:f>IF(OR(L67="未检查",L67="通过",L67="不适用"),"",IFERROR(VLOOKUP(M67,'口径与下拉'!$A$9:$B$14,2,FALSE),0)+IFERROR(VLOOKUP(N67,'口径与下拉'!$D$9:$E$14,2,FALSE),0)+O67)</x:f>
      </x:c>
      <x:c r="Q67" s="29" t="str"/>
      <x:c r="R67" s="29" t="str">
        <x:f>IF(P67="","",IF(P67&gt;=13,"P0",IF(P67&gt;=10,"P1",IF(P67&gt;=7,"P2","P3"))))</x:f>
      </x:c>
      <x:c r="S67" s="21" t="str"/>
      <x:c r="T67" s="21" t="str"/>
      <x:c r="U67" s="21" t="str"/>
      <x:c r="V67" s="31" t="str"/>
      <x:c r="W67" s="21" t="str"/>
      <x:c r="X67" s="21" t="str">
        <x:v>未复测</x:v>
      </x:c>
      <x:c r="Y67" s="21" t="str"/>
    </x:row>
    <x:row r="68" ht="52" customHeight="1">
      <x:c r="A68" s="27" t="str">
        <x:v>UX-064</x:v>
      </x:c>
      <x:c r="B68" s="23" t="str">
        <x:v>05 布局、层级与可读性</x:v>
      </x:c>
      <x:c r="C68" s="23" t="str">
        <x:v>移动端信息呈现</x:v>
      </x:c>
      <x:c r="D68" s="23" t="str">
        <x:v>全局 UI</x:v>
      </x:c>
      <x:c r="E68" s="21" t="str">
        <x:v>装饰不遮挡交互</x:v>
      </x:c>
      <x:c r="F68" s="21" t="str">
        <x:v>飘叶、云雾、角色、建筑热区不会盖住 HUD 或按钮</x:v>
      </x:c>
      <x:c r="G68" s="21" t="str">
        <x:v>多场景连点与命中区检查</x:v>
      </x:c>
      <x:c r="H68" s="21" t="str">
        <x:v>操作/美术</x:v>
      </x:c>
      <x:c r="I68" s="21" t="str">
        <x:v>全流程</x:v>
      </x:c>
      <x:c r="J68" s="21" t="str">
        <x:v>全平台</x:v>
      </x:c>
      <x:c r="K68" s="21" t="str"/>
      <x:c r="L68" s="29" t="str">
        <x:v>未检查</x:v>
      </x:c>
      <x:c r="M68" s="29" t="str">
        <x:v>未确认</x:v>
      </x:c>
      <x:c r="N68" s="29" t="str">
        <x:v>未确认</x:v>
      </x:c>
      <x:c r="O68" s="29" t="str"/>
      <x:c r="P68" s="29" t="str">
        <x:f>IF(OR(L68="未检查",L68="通过",L68="不适用"),"",IFERROR(VLOOKUP(M68,'口径与下拉'!$A$9:$B$14,2,FALSE),0)+IFERROR(VLOOKUP(N68,'口径与下拉'!$D$9:$E$14,2,FALSE),0)+O68)</x:f>
      </x:c>
      <x:c r="Q68" s="29" t="str"/>
      <x:c r="R68" s="29" t="str">
        <x:f>IF(P68="","",IF(P68&gt;=13,"P0",IF(P68&gt;=10,"P1",IF(P68&gt;=7,"P2","P3"))))</x:f>
      </x:c>
      <x:c r="S68" s="21" t="str"/>
      <x:c r="T68" s="21" t="str"/>
      <x:c r="U68" s="21" t="str"/>
      <x:c r="V68" s="31" t="str"/>
      <x:c r="W68" s="21" t="str"/>
      <x:c r="X68" s="21" t="str">
        <x:v>未复测</x:v>
      </x:c>
      <x:c r="Y68" s="21" t="str"/>
    </x:row>
    <x:row r="69" ht="52" customHeight="1">
      <x:c r="A69" s="27" t="str">
        <x:v>UX-065</x:v>
      </x:c>
      <x:c r="B69" s="23" t="str">
        <x:v>06 交互反馈与操作手感</x:v>
      </x:c>
      <x:c r="C69" s="23" t="str">
        <x:v>触控与状态反馈</x:v>
      </x:c>
      <x:c r="D69" s="23" t="str">
        <x:v>全局交互</x:v>
      </x:c>
      <x:c r="E69" s="21" t="str">
        <x:v>主要触控目标足够大</x:v>
      </x:c>
      <x:c r="F69" s="21" t="str">
        <x:v>高频按钮和棋盘操作在拇指区可稳定命中，间距防误触</x:v>
      </x:c>
      <x:c r="G69" s="21" t="str">
        <x:v>拇指单手游玩 + 命中区检查</x:v>
      </x:c>
      <x:c r="H69" s="21" t="str">
        <x:v>理解/操作</x:v>
      </x:c>
      <x:c r="I69" s="21" t="str">
        <x:v>全流程</x:v>
      </x:c>
      <x:c r="J69" s="21" t="str">
        <x:v>全平台</x:v>
      </x:c>
      <x:c r="K69" s="21" t="str"/>
      <x:c r="L69" s="29" t="str">
        <x:v>未检查</x:v>
      </x:c>
      <x:c r="M69" s="29" t="str">
        <x:v>未确认</x:v>
      </x:c>
      <x:c r="N69" s="29" t="str">
        <x:v>未确认</x:v>
      </x:c>
      <x:c r="O69" s="29" t="str"/>
      <x:c r="P69" s="29" t="str">
        <x:f>IF(OR(L69="未检查",L69="通过",L69="不适用"),"",IFERROR(VLOOKUP(M69,'口径与下拉'!$A$9:$B$14,2,FALSE),0)+IFERROR(VLOOKUP(N69,'口径与下拉'!$D$9:$E$14,2,FALSE),0)+O69)</x:f>
      </x:c>
      <x:c r="Q69" s="29" t="str"/>
      <x:c r="R69" s="29" t="str">
        <x:f>IF(P69="","",IF(P69&gt;=13,"P0",IF(P69&gt;=10,"P1",IF(P69&gt;=7,"P2","P3"))))</x:f>
      </x:c>
      <x:c r="S69" s="21" t="str"/>
      <x:c r="T69" s="21" t="str"/>
      <x:c r="U69" s="21" t="str"/>
      <x:c r="V69" s="31" t="str"/>
      <x:c r="W69" s="21" t="str"/>
      <x:c r="X69" s="21" t="str">
        <x:v>未复测</x:v>
      </x:c>
      <x:c r="Y69" s="21" t="str"/>
    </x:row>
    <x:row r="70" ht="52" customHeight="1">
      <x:c r="A70" s="27" t="str">
        <x:v>UX-066</x:v>
      </x:c>
      <x:c r="B70" s="23" t="str">
        <x:v>06 交互反馈与操作手感</x:v>
      </x:c>
      <x:c r="C70" s="23" t="str">
        <x:v>触控与状态反馈</x:v>
      </x:c>
      <x:c r="D70" s="23" t="str">
        <x:v>全局交互</x:v>
      </x:c>
      <x:c r="E70" s="21" t="str">
        <x:v>按下、禁用、加载、完成状态齐全</x:v>
      </x:c>
      <x:c r="F70" s="21" t="str">
        <x:v>按钮每个状态可辨识且禁用原因可解释</x:v>
      </x:c>
      <x:c r="G70" s="21" t="str">
        <x:v>组件状态巡检</x:v>
      </x:c>
      <x:c r="H70" s="21" t="str">
        <x:v>理解/操作</x:v>
      </x:c>
      <x:c r="I70" s="21" t="str">
        <x:v>全流程</x:v>
      </x:c>
      <x:c r="J70" s="21" t="str">
        <x:v>全平台</x:v>
      </x:c>
      <x:c r="K70" s="21" t="str"/>
      <x:c r="L70" s="29" t="str">
        <x:v>未检查</x:v>
      </x:c>
      <x:c r="M70" s="29" t="str">
        <x:v>未确认</x:v>
      </x:c>
      <x:c r="N70" s="29" t="str">
        <x:v>未确认</x:v>
      </x:c>
      <x:c r="O70" s="29" t="str"/>
      <x:c r="P70" s="29" t="str">
        <x:f>IF(OR(L70="未检查",L70="通过",L70="不适用"),"",IFERROR(VLOOKUP(M70,'口径与下拉'!$A$9:$B$14,2,FALSE),0)+IFERROR(VLOOKUP(N70,'口径与下拉'!$D$9:$E$14,2,FALSE),0)+O70)</x:f>
      </x:c>
      <x:c r="Q70" s="29" t="str"/>
      <x:c r="R70" s="29" t="str">
        <x:f>IF(P70="","",IF(P70&gt;=13,"P0",IF(P70&gt;=10,"P1",IF(P70&gt;=7,"P2","P3"))))</x:f>
      </x:c>
      <x:c r="S70" s="21" t="str"/>
      <x:c r="T70" s="21" t="str"/>
      <x:c r="U70" s="21" t="str"/>
      <x:c r="V70" s="31" t="str"/>
      <x:c r="W70" s="21" t="str"/>
      <x:c r="X70" s="21" t="str">
        <x:v>未复测</x:v>
      </x:c>
      <x:c r="Y70" s="21" t="str"/>
    </x:row>
    <x:row r="71" ht="52" customHeight="1">
      <x:c r="A71" s="27" t="str">
        <x:v>UX-067</x:v>
      </x:c>
      <x:c r="B71" s="23" t="str">
        <x:v>06 交互反馈与操作手感</x:v>
      </x:c>
      <x:c r="C71" s="23" t="str">
        <x:v>触控与状态反馈</x:v>
      </x:c>
      <x:c r="D71" s="23" t="str">
        <x:v>全局交互</x:v>
      </x:c>
      <x:c r="E71" s="21" t="str">
        <x:v>重复点击被幂等处理</x:v>
      </x:c>
      <x:c r="F71" s="21" t="str">
        <x:v>连点不会重复扣资源、发奖励、开页面或生成对象</x:v>
      </x:c>
      <x:c r="G71" s="21" t="str">
        <x:v>自动连点/双击测试</x:v>
      </x:c>
      <x:c r="H71" s="21" t="str">
        <x:v>数据/稳定性</x:v>
      </x:c>
      <x:c r="I71" s="21" t="str">
        <x:v>全流程</x:v>
      </x:c>
      <x:c r="J71" s="21" t="str">
        <x:v>全平台</x:v>
      </x:c>
      <x:c r="K71" s="21" t="str"/>
      <x:c r="L71" s="29" t="str">
        <x:v>未检查</x:v>
      </x:c>
      <x:c r="M71" s="29" t="str">
        <x:v>未确认</x:v>
      </x:c>
      <x:c r="N71" s="29" t="str">
        <x:v>未确认</x:v>
      </x:c>
      <x:c r="O71" s="29" t="str"/>
      <x:c r="P71" s="29" t="str">
        <x:f>IF(OR(L71="未检查",L71="通过",L71="不适用"),"",IFERROR(VLOOKUP(M71,'口径与下拉'!$A$9:$B$14,2,FALSE),0)+IFERROR(VLOOKUP(N71,'口径与下拉'!$D$9:$E$14,2,FALSE),0)+O71)</x:f>
      </x:c>
      <x:c r="Q71" s="29" t="str"/>
      <x:c r="R71" s="29" t="str">
        <x:f>IF(P71="","",IF(P71&gt;=13,"P0",IF(P71&gt;=10,"P1",IF(P71&gt;=7,"P2","P3"))))</x:f>
      </x:c>
      <x:c r="S71" s="21" t="str"/>
      <x:c r="T71" s="21" t="str"/>
      <x:c r="U71" s="21" t="str"/>
      <x:c r="V71" s="31" t="str"/>
      <x:c r="W71" s="21" t="str"/>
      <x:c r="X71" s="21" t="str">
        <x:v>未复测</x:v>
      </x:c>
      <x:c r="Y71" s="21" t="str"/>
    </x:row>
    <x:row r="72" ht="52" customHeight="1">
      <x:c r="A72" s="27" t="str">
        <x:v>UX-068</x:v>
      </x:c>
      <x:c r="B72" s="23" t="str">
        <x:v>06 交互反馈与操作手感</x:v>
      </x:c>
      <x:c r="C72" s="23" t="str">
        <x:v>触控与状态反馈</x:v>
      </x:c>
      <x:c r="D72" s="23" t="str">
        <x:v>全局交互</x:v>
      </x:c>
      <x:c r="E72" s="21" t="str">
        <x:v>长任务有进度与取消/重试</x:v>
      </x:c>
      <x:c r="F72" s="21" t="str">
        <x:v>加载、导入、按需小游戏和视频不无限旋转</x:v>
      </x:c>
      <x:c r="G72" s="21" t="str">
        <x:v>慢网与错误注入</x:v>
      </x:c>
      <x:c r="H72" s="21" t="str">
        <x:v>理解/操作</x:v>
      </x:c>
      <x:c r="I72" s="21" t="str">
        <x:v>全流程</x:v>
      </x:c>
      <x:c r="J72" s="21" t="str">
        <x:v>全平台</x:v>
      </x:c>
      <x:c r="K72" s="21" t="str"/>
      <x:c r="L72" s="29" t="str">
        <x:v>未检查</x:v>
      </x:c>
      <x:c r="M72" s="29" t="str">
        <x:v>未确认</x:v>
      </x:c>
      <x:c r="N72" s="29" t="str">
        <x:v>未确认</x:v>
      </x:c>
      <x:c r="O72" s="29" t="str"/>
      <x:c r="P72" s="29" t="str">
        <x:f>IF(OR(L72="未检查",L72="通过",L72="不适用"),"",IFERROR(VLOOKUP(M72,'口径与下拉'!$A$9:$B$14,2,FALSE),0)+IFERROR(VLOOKUP(N72,'口径与下拉'!$D$9:$E$14,2,FALSE),0)+O72)</x:f>
      </x:c>
      <x:c r="Q72" s="29" t="str"/>
      <x:c r="R72" s="29" t="str">
        <x:f>IF(P72="","",IF(P72&gt;=13,"P0",IF(P72&gt;=10,"P1",IF(P72&gt;=7,"P2","P3"))))</x:f>
      </x:c>
      <x:c r="S72" s="21" t="str"/>
      <x:c r="T72" s="21" t="str"/>
      <x:c r="U72" s="21" t="str"/>
      <x:c r="V72" s="31" t="str"/>
      <x:c r="W72" s="21" t="str"/>
      <x:c r="X72" s="21" t="str">
        <x:v>未复测</x:v>
      </x:c>
      <x:c r="Y72" s="21" t="str"/>
    </x:row>
    <x:row r="73" ht="52" customHeight="1">
      <x:c r="A73" s="27" t="str">
        <x:v>UX-069</x:v>
      </x:c>
      <x:c r="B73" s="23" t="str">
        <x:v>06 交互反馈与操作手感</x:v>
      </x:c>
      <x:c r="C73" s="23" t="str">
        <x:v>触控与状态反馈</x:v>
      </x:c>
      <x:c r="D73" s="23" t="str">
        <x:v>全局交互</x:v>
      </x:c>
      <x:c r="E73" s="21" t="str">
        <x:v>成功反馈说明发生了什么</x:v>
      </x:c>
      <x:c r="F73" s="21" t="str">
        <x:v>资源变化、目标推进、解锁与保存均有可理解反馈</x:v>
      </x:c>
      <x:c r="G73" s="21" t="str">
        <x:v>关键动作前后截图/数值核对</x:v>
      </x:c>
      <x:c r="H73" s="21" t="str">
        <x:v>理解/操作</x:v>
      </x:c>
      <x:c r="I73" s="21" t="str">
        <x:v>全流程</x:v>
      </x:c>
      <x:c r="J73" s="21" t="str">
        <x:v>全平台</x:v>
      </x:c>
      <x:c r="K73" s="21" t="str"/>
      <x:c r="L73" s="29" t="str">
        <x:v>未检查</x:v>
      </x:c>
      <x:c r="M73" s="29" t="str">
        <x:v>未确认</x:v>
      </x:c>
      <x:c r="N73" s="29" t="str">
        <x:v>未确认</x:v>
      </x:c>
      <x:c r="O73" s="29" t="str"/>
      <x:c r="P73" s="29" t="str">
        <x:f>IF(OR(L73="未检查",L73="通过",L73="不适用"),"",IFERROR(VLOOKUP(M73,'口径与下拉'!$A$9:$B$14,2,FALSE),0)+IFERROR(VLOOKUP(N73,'口径与下拉'!$D$9:$E$14,2,FALSE),0)+O73)</x:f>
      </x:c>
      <x:c r="Q73" s="29" t="str"/>
      <x:c r="R73" s="29" t="str">
        <x:f>IF(P73="","",IF(P73&gt;=13,"P0",IF(P73&gt;=10,"P1",IF(P73&gt;=7,"P2","P3"))))</x:f>
      </x:c>
      <x:c r="S73" s="21" t="str"/>
      <x:c r="T73" s="21" t="str"/>
      <x:c r="U73" s="21" t="str"/>
      <x:c r="V73" s="31" t="str"/>
      <x:c r="W73" s="21" t="str"/>
      <x:c r="X73" s="21" t="str">
        <x:v>未复测</x:v>
      </x:c>
      <x:c r="Y73" s="21" t="str"/>
    </x:row>
    <x:row r="74" ht="52" customHeight="1">
      <x:c r="A74" s="27" t="str">
        <x:v>UX-070</x:v>
      </x:c>
      <x:c r="B74" s="23" t="str">
        <x:v>06 交互反馈与操作手感</x:v>
      </x:c>
      <x:c r="C74" s="23" t="str">
        <x:v>触控与状态反馈</x:v>
      </x:c>
      <x:c r="D74" s="23" t="str">
        <x:v>全局交互</x:v>
      </x:c>
      <x:c r="E74" s="21" t="str">
        <x:v>失败反馈可行动</x:v>
      </x:c>
      <x:c r="F74" s="21" t="str">
        <x:v>提示原因、影响和下一步，不只显示“失败”或技术错误码</x:v>
      </x:c>
      <x:c r="G74" s="21" t="str">
        <x:v>覆盖不足、满格、锁定、网络失败</x:v>
      </x:c>
      <x:c r="H74" s="21" t="str">
        <x:v>理解/操作</x:v>
      </x:c>
      <x:c r="I74" s="21" t="str">
        <x:v>全流程</x:v>
      </x:c>
      <x:c r="J74" s="21" t="str">
        <x:v>全平台</x:v>
      </x:c>
      <x:c r="K74" s="21" t="str"/>
      <x:c r="L74" s="29" t="str">
        <x:v>未检查</x:v>
      </x:c>
      <x:c r="M74" s="29" t="str">
        <x:v>未确认</x:v>
      </x:c>
      <x:c r="N74" s="29" t="str">
        <x:v>未确认</x:v>
      </x:c>
      <x:c r="O74" s="29" t="str"/>
      <x:c r="P74" s="29" t="str">
        <x:f>IF(OR(L74="未检查",L74="通过",L74="不适用"),"",IFERROR(VLOOKUP(M74,'口径与下拉'!$A$9:$B$14,2,FALSE),0)+IFERROR(VLOOKUP(N74,'口径与下拉'!$D$9:$E$14,2,FALSE),0)+O74)</x:f>
      </x:c>
      <x:c r="Q74" s="29" t="str"/>
      <x:c r="R74" s="29" t="str">
        <x:f>IF(P74="","",IF(P74&gt;=13,"P0",IF(P74&gt;=10,"P1",IF(P74&gt;=7,"P2","P3"))))</x:f>
      </x:c>
      <x:c r="S74" s="21" t="str"/>
      <x:c r="T74" s="21" t="str"/>
      <x:c r="U74" s="21" t="str"/>
      <x:c r="V74" s="31" t="str"/>
      <x:c r="W74" s="21" t="str"/>
      <x:c r="X74" s="21" t="str">
        <x:v>未复测</x:v>
      </x:c>
      <x:c r="Y74" s="21" t="str"/>
    </x:row>
    <x:row r="75" ht="52" customHeight="1">
      <x:c r="A75" s="27" t="str">
        <x:v>UX-071</x:v>
      </x:c>
      <x:c r="B75" s="23" t="str">
        <x:v>06 交互反馈与操作手感</x:v>
      </x:c>
      <x:c r="C75" s="23" t="str">
        <x:v>触控与状态反馈</x:v>
      </x:c>
      <x:c r="D75" s="23" t="str">
        <x:v>全局交互</x:v>
      </x:c>
      <x:c r="E75" s="21" t="str">
        <x:v>拖拽起点和落点清晰</x:v>
      </x:c>
      <x:c r="F75" s="21" t="str">
        <x:v>物品抬起、目标格高亮、不可合并态和回弹均明确</x:v>
      </x:c>
      <x:c r="G75" s="21" t="str">
        <x:v>慢拖、快拖、越界拖动</x:v>
      </x:c>
      <x:c r="H75" s="21" t="str">
        <x:v>理解/操作</x:v>
      </x:c>
      <x:c r="I75" s="21" t="str">
        <x:v>全流程</x:v>
      </x:c>
      <x:c r="J75" s="21" t="str">
        <x:v>全平台</x:v>
      </x:c>
      <x:c r="K75" s="21" t="str"/>
      <x:c r="L75" s="29" t="str">
        <x:v>未检查</x:v>
      </x:c>
      <x:c r="M75" s="29" t="str">
        <x:v>未确认</x:v>
      </x:c>
      <x:c r="N75" s="29" t="str">
        <x:v>未确认</x:v>
      </x:c>
      <x:c r="O75" s="29" t="str"/>
      <x:c r="P75" s="29" t="str">
        <x:f>IF(OR(L75="未检查",L75="通过",L75="不适用"),"",IFERROR(VLOOKUP(M75,'口径与下拉'!$A$9:$B$14,2,FALSE),0)+IFERROR(VLOOKUP(N75,'口径与下拉'!$D$9:$E$14,2,FALSE),0)+O75)</x:f>
      </x:c>
      <x:c r="Q75" s="29" t="str"/>
      <x:c r="R75" s="29" t="str">
        <x:f>IF(P75="","",IF(P75&gt;=13,"P0",IF(P75&gt;=10,"P1",IF(P75&gt;=7,"P2","P3"))))</x:f>
      </x:c>
      <x:c r="S75" s="21" t="str"/>
      <x:c r="T75" s="21" t="str"/>
      <x:c r="U75" s="21" t="str"/>
      <x:c r="V75" s="31" t="str"/>
      <x:c r="W75" s="21" t="str"/>
      <x:c r="X75" s="21" t="str">
        <x:v>未复测</x:v>
      </x:c>
      <x:c r="Y75" s="21" t="str"/>
    </x:row>
    <x:row r="76" ht="52" customHeight="1">
      <x:c r="A76" s="27" t="str">
        <x:v>UX-072</x:v>
      </x:c>
      <x:c r="B76" s="23" t="str">
        <x:v>06 交互反馈与操作手感</x:v>
      </x:c>
      <x:c r="C76" s="23" t="str">
        <x:v>触控与状态反馈</x:v>
      </x:c>
      <x:c r="D76" s="23" t="str">
        <x:v>全局交互</x:v>
      </x:c>
      <x:c r="E76" s="21" t="str">
        <x:v>滚动与拖拽不冲突</x:v>
      </x:c>
      <x:c r="F76" s="21" t="str">
        <x:v>棋盘拖物、页面滑动、弹窗滚动不会互相误判</x:v>
      </x:c>
      <x:c r="G76" s="21" t="str">
        <x:v>斜向手势与边缘手势</x:v>
      </x:c>
      <x:c r="H76" s="21" t="str">
        <x:v>理解/操作</x:v>
      </x:c>
      <x:c r="I76" s="21" t="str">
        <x:v>全流程</x:v>
      </x:c>
      <x:c r="J76" s="21" t="str">
        <x:v>全平台</x:v>
      </x:c>
      <x:c r="K76" s="21" t="str"/>
      <x:c r="L76" s="29" t="str">
        <x:v>未检查</x:v>
      </x:c>
      <x:c r="M76" s="29" t="str">
        <x:v>未确认</x:v>
      </x:c>
      <x:c r="N76" s="29" t="str">
        <x:v>未确认</x:v>
      </x:c>
      <x:c r="O76" s="29" t="str"/>
      <x:c r="P76" s="29" t="str">
        <x:f>IF(OR(L76="未检查",L76="通过",L76="不适用"),"",IFERROR(VLOOKUP(M76,'口径与下拉'!$A$9:$B$14,2,FALSE),0)+IFERROR(VLOOKUP(N76,'口径与下拉'!$D$9:$E$14,2,FALSE),0)+O76)</x:f>
      </x:c>
      <x:c r="Q76" s="29" t="str"/>
      <x:c r="R76" s="29" t="str">
        <x:f>IF(P76="","",IF(P76&gt;=13,"P0",IF(P76&gt;=10,"P1",IF(P76&gt;=7,"P2","P3"))))</x:f>
      </x:c>
      <x:c r="S76" s="21" t="str"/>
      <x:c r="T76" s="21" t="str"/>
      <x:c r="U76" s="21" t="str"/>
      <x:c r="V76" s="31" t="str"/>
      <x:c r="W76" s="21" t="str"/>
      <x:c r="X76" s="21" t="str">
        <x:v>未复测</x:v>
      </x:c>
      <x:c r="Y76" s="21" t="str"/>
    </x:row>
    <x:row r="77" ht="52" customHeight="1">
      <x:c r="A77" s="27" t="str">
        <x:v>UX-073</x:v>
      </x:c>
      <x:c r="B77" s="23" t="str">
        <x:v>06 交互反馈与操作手感</x:v>
      </x:c>
      <x:c r="C77" s="23" t="str">
        <x:v>触控与状态反馈</x:v>
      </x:c>
      <x:c r="D77" s="23" t="str">
        <x:v>全局交互</x:v>
      </x:c>
      <x:c r="E77" s="21" t="str">
        <x:v>破坏性操作有确认</x:v>
      </x:c>
      <x:c r="F77" s="21" t="str">
        <x:v>回收、覆盖导入、重置等说明对象与不可逆影响</x:v>
      </x:c>
      <x:c r="G77" s="21" t="str">
        <x:v>逐项触发并取消/确认</x:v>
      </x:c>
      <x:c r="H77" s="21" t="str">
        <x:v>理解/操作</x:v>
      </x:c>
      <x:c r="I77" s="21" t="str">
        <x:v>全流程</x:v>
      </x:c>
      <x:c r="J77" s="21" t="str">
        <x:v>全平台</x:v>
      </x:c>
      <x:c r="K77" s="21" t="str"/>
      <x:c r="L77" s="29" t="str">
        <x:v>未检查</x:v>
      </x:c>
      <x:c r="M77" s="29" t="str">
        <x:v>未确认</x:v>
      </x:c>
      <x:c r="N77" s="29" t="str">
        <x:v>未确认</x:v>
      </x:c>
      <x:c r="O77" s="29" t="str"/>
      <x:c r="P77" s="29" t="str">
        <x:f>IF(OR(L77="未检查",L77="通过",L77="不适用"),"",IFERROR(VLOOKUP(M77,'口径与下拉'!$A$9:$B$14,2,FALSE),0)+IFERROR(VLOOKUP(N77,'口径与下拉'!$D$9:$E$14,2,FALSE),0)+O77)</x:f>
      </x:c>
      <x:c r="Q77" s="29" t="str"/>
      <x:c r="R77" s="29" t="str">
        <x:f>IF(P77="","",IF(P77&gt;=13,"P0",IF(P77&gt;=10,"P1",IF(P77&gt;=7,"P2","P3"))))</x:f>
      </x:c>
      <x:c r="S77" s="21" t="str"/>
      <x:c r="T77" s="21" t="str"/>
      <x:c r="U77" s="21" t="str"/>
      <x:c r="V77" s="31" t="str"/>
      <x:c r="W77" s="21" t="str"/>
      <x:c r="X77" s="21" t="str">
        <x:v>未复测</x:v>
      </x:c>
      <x:c r="Y77" s="21" t="str"/>
    </x:row>
    <x:row r="78" ht="52" customHeight="1">
      <x:c r="A78" s="27" t="str">
        <x:v>UX-074</x:v>
      </x:c>
      <x:c r="B78" s="23" t="str">
        <x:v>06 交互反馈与操作手感</x:v>
      </x:c>
      <x:c r="C78" s="23" t="str">
        <x:v>触控与状态反馈</x:v>
      </x:c>
      <x:c r="D78" s="23" t="str">
        <x:v>全局交互</x:v>
      </x:c>
      <x:c r="E78" s="21" t="str">
        <x:v>确认后焦点和页面状态正确</x:v>
      </x:c>
      <x:c r="F78" s="21" t="str">
        <x:v>关闭弹窗不跳顶、不误触背景、不丢选中对象</x:v>
      </x:c>
      <x:c r="G78" s="21" t="str">
        <x:v>键盘/触控交替操作</x:v>
      </x:c>
      <x:c r="H78" s="21" t="str">
        <x:v>理解/操作</x:v>
      </x:c>
      <x:c r="I78" s="21" t="str">
        <x:v>全流程</x:v>
      </x:c>
      <x:c r="J78" s="21" t="str">
        <x:v>全平台</x:v>
      </x:c>
      <x:c r="K78" s="21" t="str"/>
      <x:c r="L78" s="29" t="str">
        <x:v>未检查</x:v>
      </x:c>
      <x:c r="M78" s="29" t="str">
        <x:v>未确认</x:v>
      </x:c>
      <x:c r="N78" s="29" t="str">
        <x:v>未确认</x:v>
      </x:c>
      <x:c r="O78" s="29" t="str"/>
      <x:c r="P78" s="29" t="str">
        <x:f>IF(OR(L78="未检查",L78="通过",L78="不适用"),"",IFERROR(VLOOKUP(M78,'口径与下拉'!$A$9:$B$14,2,FALSE),0)+IFERROR(VLOOKUP(N78,'口径与下拉'!$D$9:$E$14,2,FALSE),0)+O78)</x:f>
      </x:c>
      <x:c r="Q78" s="29" t="str"/>
      <x:c r="R78" s="29" t="str">
        <x:f>IF(P78="","",IF(P78&gt;=13,"P0",IF(P78&gt;=10,"P1",IF(P78&gt;=7,"P2","P3"))))</x:f>
      </x:c>
      <x:c r="S78" s="21" t="str"/>
      <x:c r="T78" s="21" t="str"/>
      <x:c r="U78" s="21" t="str"/>
      <x:c r="V78" s="31" t="str"/>
      <x:c r="W78" s="21" t="str"/>
      <x:c r="X78" s="21" t="str">
        <x:v>未复测</x:v>
      </x:c>
      <x:c r="Y78" s="21" t="str"/>
    </x:row>
    <x:row r="79" ht="52" customHeight="1">
      <x:c r="A79" s="27" t="str">
        <x:v>UX-075</x:v>
      </x:c>
      <x:c r="B79" s="23" t="str">
        <x:v>06 交互反馈与操作手感</x:v>
      </x:c>
      <x:c r="C79" s="23" t="str">
        <x:v>触控与状态反馈</x:v>
      </x:c>
      <x:c r="D79" s="23" t="str">
        <x:v>全局交互</x:v>
      </x:c>
      <x:c r="E79" s="21" t="str">
        <x:v>转场节奏不过慢</x:v>
      </x:c>
      <x:c r="F79" s="21" t="str">
        <x:v>常用页面切换迅速；强演出可跳过或不会频繁阻断</x:v>
      </x:c>
      <x:c r="G79" s="21" t="str">
        <x:v>录屏测时</x:v>
      </x:c>
      <x:c r="H79" s="21" t="str">
        <x:v>理解/操作</x:v>
      </x:c>
      <x:c r="I79" s="21" t="str">
        <x:v>全流程</x:v>
      </x:c>
      <x:c r="J79" s="21" t="str">
        <x:v>全平台</x:v>
      </x:c>
      <x:c r="K79" s="21" t="str"/>
      <x:c r="L79" s="29" t="str">
        <x:v>未检查</x:v>
      </x:c>
      <x:c r="M79" s="29" t="str">
        <x:v>未确认</x:v>
      </x:c>
      <x:c r="N79" s="29" t="str">
        <x:v>未确认</x:v>
      </x:c>
      <x:c r="O79" s="29" t="str"/>
      <x:c r="P79" s="29" t="str">
        <x:f>IF(OR(L79="未检查",L79="通过",L79="不适用"),"",IFERROR(VLOOKUP(M79,'口径与下拉'!$A$9:$B$14,2,FALSE),0)+IFERROR(VLOOKUP(N79,'口径与下拉'!$D$9:$E$14,2,FALSE),0)+O79)</x:f>
      </x:c>
      <x:c r="Q79" s="29" t="str"/>
      <x:c r="R79" s="29" t="str">
        <x:f>IF(P79="","",IF(P79&gt;=13,"P0",IF(P79&gt;=10,"P1",IF(P79&gt;=7,"P2","P3"))))</x:f>
      </x:c>
      <x:c r="S79" s="21" t="str"/>
      <x:c r="T79" s="21" t="str"/>
      <x:c r="U79" s="21" t="str"/>
      <x:c r="V79" s="31" t="str"/>
      <x:c r="W79" s="21" t="str"/>
      <x:c r="X79" s="21" t="str">
        <x:v>未复测</x:v>
      </x:c>
      <x:c r="Y79" s="21" t="str"/>
    </x:row>
    <x:row r="80" ht="52" customHeight="1">
      <x:c r="A80" s="27" t="str">
        <x:v>UX-076</x:v>
      </x:c>
      <x:c r="B80" s="23" t="str">
        <x:v>06 交互反馈与操作手感</x:v>
      </x:c>
      <x:c r="C80" s="23" t="str">
        <x:v>触控与状态反馈</x:v>
      </x:c>
      <x:c r="D80" s="23" t="str">
        <x:v>全局交互</x:v>
      </x:c>
      <x:c r="E80" s="21" t="str">
        <x:v>输入中断可恢复</x:v>
      </x:c>
      <x:c r="F80" s="21" t="str">
        <x:v>来电式切后台、失焦、旋转、刷新后不会卡在半交互状态</x:v>
      </x:c>
      <x:c r="G80" s="21" t="str">
        <x:v>生命周期测试</x:v>
      </x:c>
      <x:c r="H80" s="21" t="str">
        <x:v>稳定性/数据</x:v>
      </x:c>
      <x:c r="I80" s="21" t="str">
        <x:v>全流程</x:v>
      </x:c>
      <x:c r="J80" s="21" t="str">
        <x:v>全平台</x:v>
      </x:c>
      <x:c r="K80" s="21" t="str"/>
      <x:c r="L80" s="29" t="str">
        <x:v>未检查</x:v>
      </x:c>
      <x:c r="M80" s="29" t="str">
        <x:v>未确认</x:v>
      </x:c>
      <x:c r="N80" s="29" t="str">
        <x:v>未确认</x:v>
      </x:c>
      <x:c r="O80" s="29" t="str"/>
      <x:c r="P80" s="29" t="str">
        <x:f>IF(OR(L80="未检查",L80="通过",L80="不适用"),"",IFERROR(VLOOKUP(M80,'口径与下拉'!$A$9:$B$14,2,FALSE),0)+IFERROR(VLOOKUP(N80,'口径与下拉'!$D$9:$E$14,2,FALSE),0)+O80)</x:f>
      </x:c>
      <x:c r="Q80" s="29" t="str"/>
      <x:c r="R80" s="29" t="str">
        <x:f>IF(P80="","",IF(P80&gt;=13,"P0",IF(P80&gt;=10,"P1",IF(P80&gt;=7,"P2","P3"))))</x:f>
      </x:c>
      <x:c r="S80" s="21" t="str"/>
      <x:c r="T80" s="21" t="str"/>
      <x:c r="U80" s="21" t="str"/>
      <x:c r="V80" s="31" t="str"/>
      <x:c r="W80" s="21" t="str"/>
      <x:c r="X80" s="21" t="str">
        <x:v>未复测</x:v>
      </x:c>
      <x:c r="Y80" s="21" t="str"/>
    </x:row>
    <x:row r="81" ht="52" customHeight="1">
      <x:c r="A81" s="27" t="str">
        <x:v>UX-077</x:v>
      </x:c>
      <x:c r="B81" s="23" t="str">
        <x:v>06 交互反馈与操作手感</x:v>
      </x:c>
      <x:c r="C81" s="23" t="str">
        <x:v>触控与状态反馈</x:v>
      </x:c>
      <x:c r="D81" s="23" t="str">
        <x:v>全局交互</x:v>
      </x:c>
      <x:c r="E81" s="21" t="str">
        <x:v>桌面鼠标与键盘可完成关键操作</x:v>
      </x:c>
      <x:c r="F81" s="21" t="str">
        <x:v>点击、拖拽、Tab、Enter、Escape 有合理行为</x:v>
      </x:c>
      <x:c r="G81" s="21" t="str">
        <x:v>桌面浏览器键鼠检查</x:v>
      </x:c>
      <x:c r="H81" s="21" t="str">
        <x:v>操作/可访问性</x:v>
      </x:c>
      <x:c r="I81" s="21" t="str">
        <x:v>全流程</x:v>
      </x:c>
      <x:c r="J81" s="21" t="str">
        <x:v>桌面浏览器</x:v>
      </x:c>
      <x:c r="K81" s="21" t="str"/>
      <x:c r="L81" s="29" t="str">
        <x:v>未检查</x:v>
      </x:c>
      <x:c r="M81" s="29" t="str">
        <x:v>未确认</x:v>
      </x:c>
      <x:c r="N81" s="29" t="str">
        <x:v>未确认</x:v>
      </x:c>
      <x:c r="O81" s="29" t="str"/>
      <x:c r="P81" s="29" t="str">
        <x:f>IF(OR(L81="未检查",L81="通过",L81="不适用"),"",IFERROR(VLOOKUP(M81,'口径与下拉'!$A$9:$B$14,2,FALSE),0)+IFERROR(VLOOKUP(N81,'口径与下拉'!$D$9:$E$14,2,FALSE),0)+O81)</x:f>
      </x:c>
      <x:c r="Q81" s="29" t="str"/>
      <x:c r="R81" s="29" t="str">
        <x:f>IF(P81="","",IF(P81&gt;=13,"P0",IF(P81&gt;=10,"P1",IF(P81&gt;=7,"P2","P3"))))</x:f>
      </x:c>
      <x:c r="S81" s="21" t="str"/>
      <x:c r="T81" s="21" t="str"/>
      <x:c r="U81" s="21" t="str"/>
      <x:c r="V81" s="31" t="str"/>
      <x:c r="W81" s="21" t="str"/>
      <x:c r="X81" s="21" t="str">
        <x:v>未复测</x:v>
      </x:c>
      <x:c r="Y81" s="21" t="str"/>
    </x:row>
    <x:row r="82" ht="52" customHeight="1">
      <x:c r="A82" s="27" t="str">
        <x:v>UX-078</x:v>
      </x:c>
      <x:c r="B82" s="23" t="str">
        <x:v>06 交互反馈与操作手感</x:v>
      </x:c>
      <x:c r="C82" s="23" t="str">
        <x:v>触控与状态反馈</x:v>
      </x:c>
      <x:c r="D82" s="23" t="str">
        <x:v>全局交互</x:v>
      </x:c>
      <x:c r="E82" s="21" t="str">
        <x:v>触感/震动可控且非必需</x:v>
      </x:c>
      <x:c r="F82" s="21" t="str">
        <x:v>若提供震动，可关闭；无震动时仍有视觉/声音反馈</x:v>
      </x:c>
      <x:c r="G82" s="21" t="str">
        <x:v>支持与不支持振动设备测试</x:v>
      </x:c>
      <x:c r="H82" s="21" t="str">
        <x:v>舒适性/反馈</x:v>
      </x:c>
      <x:c r="I82" s="21" t="str">
        <x:v>全流程</x:v>
      </x:c>
      <x:c r="J82" s="21" t="str">
        <x:v>全平台</x:v>
      </x:c>
      <x:c r="K82" s="21" t="str"/>
      <x:c r="L82" s="29" t="str">
        <x:v>未检查</x:v>
      </x:c>
      <x:c r="M82" s="29" t="str">
        <x:v>未确认</x:v>
      </x:c>
      <x:c r="N82" s="29" t="str">
        <x:v>未确认</x:v>
      </x:c>
      <x:c r="O82" s="29" t="str"/>
      <x:c r="P82" s="29" t="str">
        <x:f>IF(OR(L82="未检查",L82="通过",L82="不适用"),"",IFERROR(VLOOKUP(M82,'口径与下拉'!$A$9:$B$14,2,FALSE),0)+IFERROR(VLOOKUP(N82,'口径与下拉'!$D$9:$E$14,2,FALSE),0)+O82)</x:f>
      </x:c>
      <x:c r="Q82" s="29" t="str"/>
      <x:c r="R82" s="29" t="str">
        <x:f>IF(P82="","",IF(P82&gt;=13,"P0",IF(P82&gt;=10,"P1",IF(P82&gt;=7,"P2","P3"))))</x:f>
      </x:c>
      <x:c r="S82" s="21" t="str"/>
      <x:c r="T82" s="21" t="str"/>
      <x:c r="U82" s="21" t="str"/>
      <x:c r="V82" s="31" t="str"/>
      <x:c r="W82" s="21" t="str"/>
      <x:c r="X82" s="21" t="str">
        <x:v>未复测</x:v>
      </x:c>
      <x:c r="Y82" s="21" t="str"/>
    </x:row>
    <x:row r="83" ht="52" customHeight="1">
      <x:c r="A83" s="27" t="str">
        <x:v>UX-079</x:v>
      </x:c>
      <x:c r="B83" s="23" t="str">
        <x:v>07 可访问性与舒适性</x:v>
      </x:c>
      <x:c r="C83" s="23" t="str">
        <x:v>无障碍</x:v>
      </x:c>
      <x:c r="D83" s="23" t="str">
        <x:v>全局</x:v>
      </x:c>
      <x:c r="E83" s="21" t="str">
        <x:v>页面缩放可用</x:v>
      </x:c>
      <x:c r="F83" s="21" t="str">
        <x:v>200% 缩放后核心内容可达、无重叠、无横向困死</x:v>
      </x:c>
      <x:c r="G83" s="21" t="str">
        <x:v>浏览器缩放测试</x:v>
      </x:c>
      <x:c r="H83" s="21" t="str">
        <x:v>理解/操作</x:v>
      </x:c>
      <x:c r="I83" s="21" t="str">
        <x:v>全流程</x:v>
      </x:c>
      <x:c r="J83" s="21" t="str">
        <x:v>全平台</x:v>
      </x:c>
      <x:c r="K83" s="21" t="str"/>
      <x:c r="L83" s="29" t="str">
        <x:v>未检查</x:v>
      </x:c>
      <x:c r="M83" s="29" t="str">
        <x:v>未确认</x:v>
      </x:c>
      <x:c r="N83" s="29" t="str">
        <x:v>未确认</x:v>
      </x:c>
      <x:c r="O83" s="29" t="str"/>
      <x:c r="P83" s="29" t="str">
        <x:f>IF(OR(L83="未检查",L83="通过",L83="不适用"),"",IFERROR(VLOOKUP(M83,'口径与下拉'!$A$9:$B$14,2,FALSE),0)+IFERROR(VLOOKUP(N83,'口径与下拉'!$D$9:$E$14,2,FALSE),0)+O83)</x:f>
      </x:c>
      <x:c r="Q83" s="29" t="str"/>
      <x:c r="R83" s="29" t="str">
        <x:f>IF(P83="","",IF(P83&gt;=13,"P0",IF(P83&gt;=10,"P1",IF(P83&gt;=7,"P2","P3"))))</x:f>
      </x:c>
      <x:c r="S83" s="21" t="str"/>
      <x:c r="T83" s="21" t="str"/>
      <x:c r="U83" s="21" t="str"/>
      <x:c r="V83" s="31" t="str"/>
      <x:c r="W83" s="21" t="str"/>
      <x:c r="X83" s="21" t="str">
        <x:v>未复测</x:v>
      </x:c>
      <x:c r="Y83" s="21" t="str"/>
    </x:row>
    <x:row r="84" ht="52" customHeight="1">
      <x:c r="A84" s="27" t="str">
        <x:v>UX-080</x:v>
      </x:c>
      <x:c r="B84" s="23" t="str">
        <x:v>07 可访问性与舒适性</x:v>
      </x:c>
      <x:c r="C84" s="23" t="str">
        <x:v>无障碍</x:v>
      </x:c>
      <x:c r="D84" s="23" t="str">
        <x:v>全局</x:v>
      </x:c>
      <x:c r="E84" s="21" t="str">
        <x:v>焦点顺序符合阅读顺序</x:v>
      </x:c>
      <x:c r="F84" s="21" t="str">
        <x:v>Tab 从标题/主内容到主动作再到次要动作，不跳到隐藏元素</x:v>
      </x:c>
      <x:c r="G84" s="21" t="str">
        <x:v>键盘逐屏导航</x:v>
      </x:c>
      <x:c r="H84" s="21" t="str">
        <x:v>理解/操作</x:v>
      </x:c>
      <x:c r="I84" s="21" t="str">
        <x:v>全流程</x:v>
      </x:c>
      <x:c r="J84" s="21" t="str">
        <x:v>全平台</x:v>
      </x:c>
      <x:c r="K84" s="21" t="str"/>
      <x:c r="L84" s="29" t="str">
        <x:v>未检查</x:v>
      </x:c>
      <x:c r="M84" s="29" t="str">
        <x:v>未确认</x:v>
      </x:c>
      <x:c r="N84" s="29" t="str">
        <x:v>未确认</x:v>
      </x:c>
      <x:c r="O84" s="29" t="str"/>
      <x:c r="P84" s="29" t="str">
        <x:f>IF(OR(L84="未检查",L84="通过",L84="不适用"),"",IFERROR(VLOOKUP(M84,'口径与下拉'!$A$9:$B$14,2,FALSE),0)+IFERROR(VLOOKUP(N84,'口径与下拉'!$D$9:$E$14,2,FALSE),0)+O84)</x:f>
      </x:c>
      <x:c r="Q84" s="29" t="str"/>
      <x:c r="R84" s="29" t="str">
        <x:f>IF(P84="","",IF(P84&gt;=13,"P0",IF(P84&gt;=10,"P1",IF(P84&gt;=7,"P2","P3"))))</x:f>
      </x:c>
      <x:c r="S84" s="21" t="str"/>
      <x:c r="T84" s="21" t="str"/>
      <x:c r="U84" s="21" t="str"/>
      <x:c r="V84" s="31" t="str"/>
      <x:c r="W84" s="21" t="str"/>
      <x:c r="X84" s="21" t="str">
        <x:v>未复测</x:v>
      </x:c>
      <x:c r="Y84" s="21" t="str"/>
    </x:row>
    <x:row r="85" ht="52" customHeight="1">
      <x:c r="A85" s="27" t="str">
        <x:v>UX-081</x:v>
      </x:c>
      <x:c r="B85" s="23" t="str">
        <x:v>07 可访问性与舒适性</x:v>
      </x:c>
      <x:c r="C85" s="23" t="str">
        <x:v>无障碍</x:v>
      </x:c>
      <x:c r="D85" s="23" t="str">
        <x:v>全局</x:v>
      </x:c>
      <x:c r="E85" s="21" t="str">
        <x:v>模态有焦点陷阱与恢复</x:v>
      </x:c>
      <x:c r="F85" s="21" t="str">
        <x:v>焦点不进入背景；Escape 关闭；关闭后回到触发控件</x:v>
      </x:c>
      <x:c r="G85" s="21" t="str">
        <x:v>键盘自动/人工测试</x:v>
      </x:c>
      <x:c r="H85" s="21" t="str">
        <x:v>理解/操作</x:v>
      </x:c>
      <x:c r="I85" s="21" t="str">
        <x:v>全流程</x:v>
      </x:c>
      <x:c r="J85" s="21" t="str">
        <x:v>全平台</x:v>
      </x:c>
      <x:c r="K85" s="21" t="str"/>
      <x:c r="L85" s="29" t="str">
        <x:v>未检查</x:v>
      </x:c>
      <x:c r="M85" s="29" t="str">
        <x:v>未确认</x:v>
      </x:c>
      <x:c r="N85" s="29" t="str">
        <x:v>未确认</x:v>
      </x:c>
      <x:c r="O85" s="29" t="str"/>
      <x:c r="P85" s="29" t="str">
        <x:f>IF(OR(L85="未检查",L85="通过",L85="不适用"),"",IFERROR(VLOOKUP(M85,'口径与下拉'!$A$9:$B$14,2,FALSE),0)+IFERROR(VLOOKUP(N85,'口径与下拉'!$D$9:$E$14,2,FALSE),0)+O85)</x:f>
      </x:c>
      <x:c r="Q85" s="29" t="str"/>
      <x:c r="R85" s="29" t="str">
        <x:f>IF(P85="","",IF(P85&gt;=13,"P0",IF(P85&gt;=10,"P1",IF(P85&gt;=7,"P2","P3"))))</x:f>
      </x:c>
      <x:c r="S85" s="21" t="str"/>
      <x:c r="T85" s="21" t="str"/>
      <x:c r="U85" s="21" t="str"/>
      <x:c r="V85" s="31" t="str"/>
      <x:c r="W85" s="21" t="str"/>
      <x:c r="X85" s="21" t="str">
        <x:v>未复测</x:v>
      </x:c>
      <x:c r="Y85" s="21" t="str"/>
    </x:row>
    <x:row r="86" ht="52" customHeight="1">
      <x:c r="A86" s="27" t="str">
        <x:v>UX-082</x:v>
      </x:c>
      <x:c r="B86" s="23" t="str">
        <x:v>07 可访问性与舒适性</x:v>
      </x:c>
      <x:c r="C86" s="23" t="str">
        <x:v>无障碍</x:v>
      </x:c>
      <x:c r="D86" s="23" t="str">
        <x:v>全局</x:v>
      </x:c>
      <x:c r="E86" s="21" t="str">
        <x:v>颜色不是唯一信息载体</x:v>
      </x:c>
      <x:c r="F86" s="21" t="str">
        <x:v>稀有度、错误、通过、锁定另有文字/图标/形状</x:v>
      </x:c>
      <x:c r="G86" s="21" t="str">
        <x:v>灰阶截图检查</x:v>
      </x:c>
      <x:c r="H86" s="21" t="str">
        <x:v>理解/操作</x:v>
      </x:c>
      <x:c r="I86" s="21" t="str">
        <x:v>全流程</x:v>
      </x:c>
      <x:c r="J86" s="21" t="str">
        <x:v>全平台</x:v>
      </x:c>
      <x:c r="K86" s="21" t="str"/>
      <x:c r="L86" s="29" t="str">
        <x:v>未检查</x:v>
      </x:c>
      <x:c r="M86" s="29" t="str">
        <x:v>未确认</x:v>
      </x:c>
      <x:c r="N86" s="29" t="str">
        <x:v>未确认</x:v>
      </x:c>
      <x:c r="O86" s="29" t="str"/>
      <x:c r="P86" s="29" t="str">
        <x:f>IF(OR(L86="未检查",L86="通过",L86="不适用"),"",IFERROR(VLOOKUP(M86,'口径与下拉'!$A$9:$B$14,2,FALSE),0)+IFERROR(VLOOKUP(N86,'口径与下拉'!$D$9:$E$14,2,FALSE),0)+O86)</x:f>
      </x:c>
      <x:c r="Q86" s="29" t="str"/>
      <x:c r="R86" s="29" t="str">
        <x:f>IF(P86="","",IF(P86&gt;=13,"P0",IF(P86&gt;=10,"P1",IF(P86&gt;=7,"P2","P3"))))</x:f>
      </x:c>
      <x:c r="S86" s="21" t="str"/>
      <x:c r="T86" s="21" t="str"/>
      <x:c r="U86" s="21" t="str"/>
      <x:c r="V86" s="31" t="str"/>
      <x:c r="W86" s="21" t="str"/>
      <x:c r="X86" s="21" t="str">
        <x:v>未复测</x:v>
      </x:c>
      <x:c r="Y86" s="21" t="str"/>
    </x:row>
    <x:row r="87" ht="52" customHeight="1">
      <x:c r="A87" s="27" t="str">
        <x:v>UX-083</x:v>
      </x:c>
      <x:c r="B87" s="23" t="str">
        <x:v>07 可访问性与舒适性</x:v>
      </x:c>
      <x:c r="C87" s="23" t="str">
        <x:v>无障碍</x:v>
      </x:c>
      <x:c r="D87" s="23" t="str">
        <x:v>全局</x:v>
      </x:c>
      <x:c r="E87" s="21" t="str">
        <x:v>文本与背景对比足够</x:v>
      </x:c>
      <x:c r="F87" s="21" t="str">
        <x:v>正文、弱化文字、按钮和禁用态在各背景上均可辨读</x:v>
      </x:c>
      <x:c r="G87" s="21" t="str">
        <x:v>对比度工具 + 人工检查</x:v>
      </x:c>
      <x:c r="H87" s="21" t="str">
        <x:v>理解/操作</x:v>
      </x:c>
      <x:c r="I87" s="21" t="str">
        <x:v>全流程</x:v>
      </x:c>
      <x:c r="J87" s="21" t="str">
        <x:v>全平台</x:v>
      </x:c>
      <x:c r="K87" s="21" t="str"/>
      <x:c r="L87" s="29" t="str">
        <x:v>未检查</x:v>
      </x:c>
      <x:c r="M87" s="29" t="str">
        <x:v>未确认</x:v>
      </x:c>
      <x:c r="N87" s="29" t="str">
        <x:v>未确认</x:v>
      </x:c>
      <x:c r="O87" s="29" t="str"/>
      <x:c r="P87" s="29" t="str">
        <x:f>IF(OR(L87="未检查",L87="通过",L87="不适用"),"",IFERROR(VLOOKUP(M87,'口径与下拉'!$A$9:$B$14,2,FALSE),0)+IFERROR(VLOOKUP(N87,'口径与下拉'!$D$9:$E$14,2,FALSE),0)+O87)</x:f>
      </x:c>
      <x:c r="Q87" s="29" t="str"/>
      <x:c r="R87" s="29" t="str">
        <x:f>IF(P87="","",IF(P87&gt;=13,"P0",IF(P87&gt;=10,"P1",IF(P87&gt;=7,"P2","P3"))))</x:f>
      </x:c>
      <x:c r="S87" s="21" t="str"/>
      <x:c r="T87" s="21" t="str"/>
      <x:c r="U87" s="21" t="str"/>
      <x:c r="V87" s="31" t="str"/>
      <x:c r="W87" s="21" t="str"/>
      <x:c r="X87" s="21" t="str">
        <x:v>未复测</x:v>
      </x:c>
      <x:c r="Y87" s="21" t="str"/>
    </x:row>
    <x:row r="88" ht="52" customHeight="1">
      <x:c r="A88" s="27" t="str">
        <x:v>UX-084</x:v>
      </x:c>
      <x:c r="B88" s="23" t="str">
        <x:v>07 可访问性与舒适性</x:v>
      </x:c>
      <x:c r="C88" s="23" t="str">
        <x:v>无障碍</x:v>
      </x:c>
      <x:c r="D88" s="23" t="str">
        <x:v>全局</x:v>
      </x:c>
      <x:c r="E88" s="21" t="str">
        <x:v>动态效果可降低</x:v>
      </x:c>
      <x:c r="F88" s="21" t="str">
        <x:v>系统减少动态偏好下减少闪烁、视差、强缩放和长转场</x:v>
      </x:c>
      <x:c r="G88" s="21" t="str">
        <x:v>prefers-reduced-motion 测试</x:v>
      </x:c>
      <x:c r="H88" s="21" t="str">
        <x:v>理解/操作</x:v>
      </x:c>
      <x:c r="I88" s="21" t="str">
        <x:v>全流程</x:v>
      </x:c>
      <x:c r="J88" s="21" t="str">
        <x:v>全平台</x:v>
      </x:c>
      <x:c r="K88" s="21" t="str"/>
      <x:c r="L88" s="29" t="str">
        <x:v>未检查</x:v>
      </x:c>
      <x:c r="M88" s="29" t="str">
        <x:v>未确认</x:v>
      </x:c>
      <x:c r="N88" s="29" t="str">
        <x:v>未确认</x:v>
      </x:c>
      <x:c r="O88" s="29" t="str"/>
      <x:c r="P88" s="29" t="str">
        <x:f>IF(OR(L88="未检查",L88="通过",L88="不适用"),"",IFERROR(VLOOKUP(M88,'口径与下拉'!$A$9:$B$14,2,FALSE),0)+IFERROR(VLOOKUP(N88,'口径与下拉'!$D$9:$E$14,2,FALSE),0)+O88)</x:f>
      </x:c>
      <x:c r="Q88" s="29" t="str"/>
      <x:c r="R88" s="29" t="str">
        <x:f>IF(P88="","",IF(P88&gt;=13,"P0",IF(P88&gt;=10,"P1",IF(P88&gt;=7,"P2","P3"))))</x:f>
      </x:c>
      <x:c r="S88" s="21" t="str"/>
      <x:c r="T88" s="21" t="str"/>
      <x:c r="U88" s="21" t="str"/>
      <x:c r="V88" s="31" t="str"/>
      <x:c r="W88" s="21" t="str"/>
      <x:c r="X88" s="21" t="str">
        <x:v>未复测</x:v>
      </x:c>
      <x:c r="Y88" s="21" t="str"/>
    </x:row>
    <x:row r="89" ht="52" customHeight="1">
      <x:c r="A89" s="27" t="str">
        <x:v>UX-085</x:v>
      </x:c>
      <x:c r="B89" s="23" t="str">
        <x:v>07 可访问性与舒适性</x:v>
      </x:c>
      <x:c r="C89" s="23" t="str">
        <x:v>无障碍</x:v>
      </x:c>
      <x:c r="D89" s="23" t="str">
        <x:v>全局</x:v>
      </x:c>
      <x:c r="E89" s="21" t="str">
        <x:v>无高频闪烁或眩晕动画</x:v>
      </x:c>
      <x:c r="F89" s="21" t="str">
        <x:v>奖励、雷雨、蜕变等不产生危险闪烁或强镜头运动</x:v>
      </x:c>
      <x:c r="G89" s="21" t="str">
        <x:v>录屏逐帧复核</x:v>
      </x:c>
      <x:c r="H89" s="21" t="str">
        <x:v>舒适性/健康</x:v>
      </x:c>
      <x:c r="I89" s="21" t="str">
        <x:v>全流程</x:v>
      </x:c>
      <x:c r="J89" s="21" t="str">
        <x:v>全平台</x:v>
      </x:c>
      <x:c r="K89" s="21" t="str"/>
      <x:c r="L89" s="29" t="str">
        <x:v>未检查</x:v>
      </x:c>
      <x:c r="M89" s="29" t="str">
        <x:v>未确认</x:v>
      </x:c>
      <x:c r="N89" s="29" t="str">
        <x:v>未确认</x:v>
      </x:c>
      <x:c r="O89" s="29" t="str"/>
      <x:c r="P89" s="29" t="str">
        <x:f>IF(OR(L89="未检查",L89="通过",L89="不适用"),"",IFERROR(VLOOKUP(M89,'口径与下拉'!$A$9:$B$14,2,FALSE),0)+IFERROR(VLOOKUP(N89,'口径与下拉'!$D$9:$E$14,2,FALSE),0)+O89)</x:f>
      </x:c>
      <x:c r="Q89" s="29" t="str"/>
      <x:c r="R89" s="29" t="str">
        <x:f>IF(P89="","",IF(P89&gt;=13,"P0",IF(P89&gt;=10,"P1",IF(P89&gt;=7,"P2","P3"))))</x:f>
      </x:c>
      <x:c r="S89" s="21" t="str"/>
      <x:c r="T89" s="21" t="str"/>
      <x:c r="U89" s="21" t="str"/>
      <x:c r="V89" s="31" t="str"/>
      <x:c r="W89" s="21" t="str"/>
      <x:c r="X89" s="21" t="str">
        <x:v>未复测</x:v>
      </x:c>
      <x:c r="Y89" s="21" t="str"/>
    </x:row>
    <x:row r="90" ht="52" customHeight="1">
      <x:c r="A90" s="27" t="str">
        <x:v>UX-086</x:v>
      </x:c>
      <x:c r="B90" s="23" t="str">
        <x:v>07 可访问性与舒适性</x:v>
      </x:c>
      <x:c r="C90" s="23" t="str">
        <x:v>无障碍</x:v>
      </x:c>
      <x:c r="D90" s="23" t="str">
        <x:v>全局</x:v>
      </x:c>
      <x:c r="E90" s="21" t="str">
        <x:v>音频信息有视觉等价</x:v>
      </x:c>
      <x:c r="F90" s="21" t="str">
        <x:v>语音、提示音和节奏提示不承担唯一关键信息</x:v>
      </x:c>
      <x:c r="G90" s="21" t="str">
        <x:v>静音完整游玩</x:v>
      </x:c>
      <x:c r="H90" s="21" t="str">
        <x:v>理解/操作</x:v>
      </x:c>
      <x:c r="I90" s="21" t="str">
        <x:v>全流程</x:v>
      </x:c>
      <x:c r="J90" s="21" t="str">
        <x:v>全平台</x:v>
      </x:c>
      <x:c r="K90" s="21" t="str"/>
      <x:c r="L90" s="29" t="str">
        <x:v>未检查</x:v>
      </x:c>
      <x:c r="M90" s="29" t="str">
        <x:v>未确认</x:v>
      </x:c>
      <x:c r="N90" s="29" t="str">
        <x:v>未确认</x:v>
      </x:c>
      <x:c r="O90" s="29" t="str"/>
      <x:c r="P90" s="29" t="str">
        <x:f>IF(OR(L90="未检查",L90="通过",L90="不适用"),"",IFERROR(VLOOKUP(M90,'口径与下拉'!$A$9:$B$14,2,FALSE),0)+IFERROR(VLOOKUP(N90,'口径与下拉'!$D$9:$E$14,2,FALSE),0)+O90)</x:f>
      </x:c>
      <x:c r="Q90" s="29" t="str"/>
      <x:c r="R90" s="29" t="str">
        <x:f>IF(P90="","",IF(P90&gt;=13,"P0",IF(P90&gt;=10,"P1",IF(P90&gt;=7,"P2","P3"))))</x:f>
      </x:c>
      <x:c r="S90" s="21" t="str"/>
      <x:c r="T90" s="21" t="str"/>
      <x:c r="U90" s="21" t="str"/>
      <x:c r="V90" s="31" t="str"/>
      <x:c r="W90" s="21" t="str"/>
      <x:c r="X90" s="21" t="str">
        <x:v>未复测</x:v>
      </x:c>
      <x:c r="Y90" s="21" t="str"/>
    </x:row>
    <x:row r="91" ht="52" customHeight="1">
      <x:c r="A91" s="27" t="str">
        <x:v>UX-087</x:v>
      </x:c>
      <x:c r="B91" s="23" t="str">
        <x:v>07 可访问性与舒适性</x:v>
      </x:c>
      <x:c r="C91" s="23" t="str">
        <x:v>无障碍</x:v>
      </x:c>
      <x:c r="D91" s="23" t="str">
        <x:v>全局</x:v>
      </x:c>
      <x:c r="E91" s="21" t="str">
        <x:v>视频有字幕/文案替代</x:v>
      </x:c>
      <x:c r="F91" s="21" t="str">
        <x:v>关键剧情不因静音或视频加载失败而丢失</x:v>
      </x:c>
      <x:c r="G91" s="21" t="str">
        <x:v>禁音/禁视频测试</x:v>
      </x:c>
      <x:c r="H91" s="21" t="str">
        <x:v>理解/操作</x:v>
      </x:c>
      <x:c r="I91" s="21" t="str">
        <x:v>全流程</x:v>
      </x:c>
      <x:c r="J91" s="21" t="str">
        <x:v>全平台</x:v>
      </x:c>
      <x:c r="K91" s="21" t="str"/>
      <x:c r="L91" s="29" t="str">
        <x:v>未检查</x:v>
      </x:c>
      <x:c r="M91" s="29" t="str">
        <x:v>未确认</x:v>
      </x:c>
      <x:c r="N91" s="29" t="str">
        <x:v>未确认</x:v>
      </x:c>
      <x:c r="O91" s="29" t="str"/>
      <x:c r="P91" s="29" t="str">
        <x:f>IF(OR(L91="未检查",L91="通过",L91="不适用"),"",IFERROR(VLOOKUP(M91,'口径与下拉'!$A$9:$B$14,2,FALSE),0)+IFERROR(VLOOKUP(N91,'口径与下拉'!$D$9:$E$14,2,FALSE),0)+O91)</x:f>
      </x:c>
      <x:c r="Q91" s="29" t="str"/>
      <x:c r="R91" s="29" t="str">
        <x:f>IF(P91="","",IF(P91&gt;=13,"P0",IF(P91&gt;=10,"P1",IF(P91&gt;=7,"P2","P3"))))</x:f>
      </x:c>
      <x:c r="S91" s="21" t="str"/>
      <x:c r="T91" s="21" t="str"/>
      <x:c r="U91" s="21" t="str"/>
      <x:c r="V91" s="31" t="str"/>
      <x:c r="W91" s="21" t="str"/>
      <x:c r="X91" s="21" t="str">
        <x:v>未复测</x:v>
      </x:c>
      <x:c r="Y91" s="21" t="str"/>
    </x:row>
    <x:row r="92" ht="52" customHeight="1">
      <x:c r="A92" s="27" t="str">
        <x:v>UX-088</x:v>
      </x:c>
      <x:c r="B92" s="23" t="str">
        <x:v>07 可访问性与舒适性</x:v>
      </x:c>
      <x:c r="C92" s="23" t="str">
        <x:v>无障碍</x:v>
      </x:c>
      <x:c r="D92" s="23" t="str">
        <x:v>全局</x:v>
      </x:c>
      <x:c r="E92" s="21" t="str">
        <x:v>控件有可理解名称</x:v>
      </x:c>
      <x:c r="F92" s="21" t="str">
        <x:v>图标按钮、棋盘格、资源和关闭按钮具备可访问名称</x:v>
      </x:c>
      <x:c r="G92" s="21" t="str">
        <x:v>辅助技术树/DOM 审查</x:v>
      </x:c>
      <x:c r="H92" s="21" t="str">
        <x:v>理解/操作</x:v>
      </x:c>
      <x:c r="I92" s="21" t="str">
        <x:v>全流程</x:v>
      </x:c>
      <x:c r="J92" s="21" t="str">
        <x:v>全平台</x:v>
      </x:c>
      <x:c r="K92" s="21" t="str"/>
      <x:c r="L92" s="29" t="str">
        <x:v>未检查</x:v>
      </x:c>
      <x:c r="M92" s="29" t="str">
        <x:v>未确认</x:v>
      </x:c>
      <x:c r="N92" s="29" t="str">
        <x:v>未确认</x:v>
      </x:c>
      <x:c r="O92" s="29" t="str"/>
      <x:c r="P92" s="29" t="str">
        <x:f>IF(OR(L92="未检查",L92="通过",L92="不适用"),"",IFERROR(VLOOKUP(M92,'口径与下拉'!$A$9:$B$14,2,FALSE),0)+IFERROR(VLOOKUP(N92,'口径与下拉'!$D$9:$E$14,2,FALSE),0)+O92)</x:f>
      </x:c>
      <x:c r="Q92" s="29" t="str"/>
      <x:c r="R92" s="29" t="str">
        <x:f>IF(P92="","",IF(P92&gt;=13,"P0",IF(P92&gt;=10,"P1",IF(P92&gt;=7,"P2","P3"))))</x:f>
      </x:c>
      <x:c r="S92" s="21" t="str"/>
      <x:c r="T92" s="21" t="str"/>
      <x:c r="U92" s="21" t="str"/>
      <x:c r="V92" s="31" t="str"/>
      <x:c r="W92" s="21" t="str"/>
      <x:c r="X92" s="21" t="str">
        <x:v>未复测</x:v>
      </x:c>
      <x:c r="Y92" s="21" t="str"/>
    </x:row>
    <x:row r="93" ht="52" customHeight="1">
      <x:c r="A93" s="27" t="str">
        <x:v>UX-089</x:v>
      </x:c>
      <x:c r="B93" s="23" t="str">
        <x:v>07 可访问性与舒适性</x:v>
      </x:c>
      <x:c r="C93" s="23" t="str">
        <x:v>无障碍</x:v>
      </x:c>
      <x:c r="D93" s="23" t="str">
        <x:v>全局</x:v>
      </x:c>
      <x:c r="E93" s="21" t="str">
        <x:v>无强制倒计时压力</x:v>
      </x:c>
      <x:c r="F93" s="21" t="str">
        <x:v>核心推进和订单无不合理时间限制；限时内容有明确暂停/替代</x:v>
      </x:c>
      <x:c r="G93" s="21" t="str">
        <x:v>全流程计时规则审查</x:v>
      </x:c>
      <x:c r="H93" s="21" t="str">
        <x:v>情绪/公平</x:v>
      </x:c>
      <x:c r="I93" s="21" t="str">
        <x:v>全流程</x:v>
      </x:c>
      <x:c r="J93" s="21" t="str">
        <x:v>全平台</x:v>
      </x:c>
      <x:c r="K93" s="21" t="str"/>
      <x:c r="L93" s="29" t="str">
        <x:v>未检查</x:v>
      </x:c>
      <x:c r="M93" s="29" t="str">
        <x:v>未确认</x:v>
      </x:c>
      <x:c r="N93" s="29" t="str">
        <x:v>未确认</x:v>
      </x:c>
      <x:c r="O93" s="29" t="str"/>
      <x:c r="P93" s="29" t="str">
        <x:f>IF(OR(L93="未检查",L93="通过",L93="不适用"),"",IFERROR(VLOOKUP(M93,'口径与下拉'!$A$9:$B$14,2,FALSE),0)+IFERROR(VLOOKUP(N93,'口径与下拉'!$D$9:$E$14,2,FALSE),0)+O93)</x:f>
      </x:c>
      <x:c r="Q93" s="29" t="str"/>
      <x:c r="R93" s="29" t="str">
        <x:f>IF(P93="","",IF(P93&gt;=13,"P0",IF(P93&gt;=10,"P1",IF(P93&gt;=7,"P2","P3"))))</x:f>
      </x:c>
      <x:c r="S93" s="21" t="str"/>
      <x:c r="T93" s="21" t="str"/>
      <x:c r="U93" s="21" t="str"/>
      <x:c r="V93" s="31" t="str"/>
      <x:c r="W93" s="21" t="str"/>
      <x:c r="X93" s="21" t="str">
        <x:v>未复测</x:v>
      </x:c>
      <x:c r="Y93" s="21" t="str"/>
    </x:row>
    <x:row r="94" ht="52" customHeight="1">
      <x:c r="A94" s="27" t="str">
        <x:v>UX-090</x:v>
      </x:c>
      <x:c r="B94" s="23" t="str">
        <x:v>07 可访问性与舒适性</x:v>
      </x:c>
      <x:c r="C94" s="23" t="str">
        <x:v>无障碍</x:v>
      </x:c>
      <x:c r="D94" s="23" t="str">
        <x:v>全局</x:v>
      </x:c>
      <x:c r="E94" s="21" t="str">
        <x:v>文字风格不以难认行草牺牲可读性</x:v>
      </x:c>
      <x:c r="F94" s="21" t="str">
        <x:v>装饰字可有风格，正文和关键数值优先清晰</x:v>
      </x:c>
      <x:c r="G94" s="21" t="str">
        <x:v>字体抽检与用户测试</x:v>
      </x:c>
      <x:c r="H94" s="21" t="str">
        <x:v>可读性/品牌</x:v>
      </x:c>
      <x:c r="I94" s="21" t="str">
        <x:v>全流程</x:v>
      </x:c>
      <x:c r="J94" s="21" t="str">
        <x:v>全平台</x:v>
      </x:c>
      <x:c r="K94" s="21" t="str"/>
      <x:c r="L94" s="29" t="str">
        <x:v>未检查</x:v>
      </x:c>
      <x:c r="M94" s="29" t="str">
        <x:v>未确认</x:v>
      </x:c>
      <x:c r="N94" s="29" t="str">
        <x:v>未确认</x:v>
      </x:c>
      <x:c r="O94" s="29" t="str"/>
      <x:c r="P94" s="29" t="str">
        <x:f>IF(OR(L94="未检查",L94="通过",L94="不适用"),"",IFERROR(VLOOKUP(M94,'口径与下拉'!$A$9:$B$14,2,FALSE),0)+IFERROR(VLOOKUP(N94,'口径与下拉'!$D$9:$E$14,2,FALSE),0)+O94)</x:f>
      </x:c>
      <x:c r="Q94" s="29" t="str"/>
      <x:c r="R94" s="29" t="str">
        <x:f>IF(P94="","",IF(P94&gt;=13,"P0",IF(P94&gt;=10,"P1",IF(P94&gt;=7,"P2","P3"))))</x:f>
      </x:c>
      <x:c r="S94" s="21" t="str"/>
      <x:c r="T94" s="21" t="str"/>
      <x:c r="U94" s="21" t="str"/>
      <x:c r="V94" s="31" t="str"/>
      <x:c r="W94" s="21" t="str"/>
      <x:c r="X94" s="21" t="str">
        <x:v>未复测</x:v>
      </x:c>
      <x:c r="Y94" s="21" t="str"/>
    </x:row>
    <x:row r="95" ht="52" customHeight="1">
      <x:c r="A95" s="27" t="str">
        <x:v>UX-091</x:v>
      </x:c>
      <x:c r="B95" s="23" t="str">
        <x:v>08 设备、视口与平台兼容</x:v>
      </x:c>
      <x:c r="C95" s="23" t="str">
        <x:v>运行环境</x:v>
      </x:c>
      <x:c r="D95" s="23" t="str">
        <x:v>H5 / TapTap / 桌面</x:v>
      </x:c>
      <x:c r="E95" s="21" t="str">
        <x:v>五档目标视口均完整</x:v>
      </x:c>
      <x:c r="F95" s="21" t="str">
        <x:v>320×568、360×800、390×844、430×932、844×390 可操作</x:v>
      </x:c>
      <x:c r="G95" s="21" t="str">
        <x:v>自动截图 + 关键路径人工复核</x:v>
      </x:c>
      <x:c r="H95" s="21" t="str">
        <x:v>理解/操作</x:v>
      </x:c>
      <x:c r="I95" s="21" t="str">
        <x:v>全流程</x:v>
      </x:c>
      <x:c r="J95" s="21" t="str">
        <x:v>全平台</x:v>
      </x:c>
      <x:c r="K95" s="21" t="str"/>
      <x:c r="L95" s="29" t="str">
        <x:v>未检查</x:v>
      </x:c>
      <x:c r="M95" s="29" t="str">
        <x:v>未确认</x:v>
      </x:c>
      <x:c r="N95" s="29" t="str">
        <x:v>未确认</x:v>
      </x:c>
      <x:c r="O95" s="29" t="str"/>
      <x:c r="P95" s="29" t="str">
        <x:f>IF(OR(L95="未检查",L95="通过",L95="不适用"),"",IFERROR(VLOOKUP(M95,'口径与下拉'!$A$9:$B$14,2,FALSE),0)+IFERROR(VLOOKUP(N95,'口径与下拉'!$D$9:$E$14,2,FALSE),0)+O95)</x:f>
      </x:c>
      <x:c r="Q95" s="29" t="str"/>
      <x:c r="R95" s="29" t="str">
        <x:f>IF(P95="","",IF(P95&gt;=13,"P0",IF(P95&gt;=10,"P1",IF(P95&gt;=7,"P2","P3"))))</x:f>
      </x:c>
      <x:c r="S95" s="21" t="str"/>
      <x:c r="T95" s="21" t="str"/>
      <x:c r="U95" s="21" t="str"/>
      <x:c r="V95" s="31" t="str"/>
      <x:c r="W95" s="21" t="str"/>
      <x:c r="X95" s="21" t="str">
        <x:v>未复测</x:v>
      </x:c>
      <x:c r="Y95" s="21" t="str"/>
    </x:row>
    <x:row r="96" ht="52" customHeight="1">
      <x:c r="A96" s="27" t="str">
        <x:v>UX-092</x:v>
      </x:c>
      <x:c r="B96" s="23" t="str">
        <x:v>08 设备、视口与平台兼容</x:v>
      </x:c>
      <x:c r="C96" s="23" t="str">
        <x:v>运行环境</x:v>
      </x:c>
      <x:c r="D96" s="23" t="str">
        <x:v>H5 / TapTap / 桌面</x:v>
      </x:c>
      <x:c r="E96" s="21" t="str">
        <x:v>iOS Safari 触控与音频正常</x:v>
      </x:c>
      <x:c r="F96" s="21" t="str">
        <x:v>滚动、100vh、安全区、自动播放恢复和存储行为可接受</x:v>
      </x:c>
      <x:c r="G96" s="21" t="str">
        <x:v>真机或可靠 WebKit 测试</x:v>
      </x:c>
      <x:c r="H96" s="21" t="str">
        <x:v>理解/操作</x:v>
      </x:c>
      <x:c r="I96" s="21" t="str">
        <x:v>全流程</x:v>
      </x:c>
      <x:c r="J96" s="21" t="str">
        <x:v>全平台</x:v>
      </x:c>
      <x:c r="K96" s="21" t="str"/>
      <x:c r="L96" s="29" t="str">
        <x:v>未检查</x:v>
      </x:c>
      <x:c r="M96" s="29" t="str">
        <x:v>未确认</x:v>
      </x:c>
      <x:c r="N96" s="29" t="str">
        <x:v>未确认</x:v>
      </x:c>
      <x:c r="O96" s="29" t="str"/>
      <x:c r="P96" s="29" t="str">
        <x:f>IF(OR(L96="未检查",L96="通过",L96="不适用"),"",IFERROR(VLOOKUP(M96,'口径与下拉'!$A$9:$B$14,2,FALSE),0)+IFERROR(VLOOKUP(N96,'口径与下拉'!$D$9:$E$14,2,FALSE),0)+O96)</x:f>
      </x:c>
      <x:c r="Q96" s="29" t="str"/>
      <x:c r="R96" s="29" t="str">
        <x:f>IF(P96="","",IF(P96&gt;=13,"P0",IF(P96&gt;=10,"P1",IF(P96&gt;=7,"P2","P3"))))</x:f>
      </x:c>
      <x:c r="S96" s="21" t="str"/>
      <x:c r="T96" s="21" t="str"/>
      <x:c r="U96" s="21" t="str"/>
      <x:c r="V96" s="31" t="str"/>
      <x:c r="W96" s="21" t="str"/>
      <x:c r="X96" s="21" t="str">
        <x:v>未复测</x:v>
      </x:c>
      <x:c r="Y96" s="21" t="str"/>
    </x:row>
    <x:row r="97" ht="52" customHeight="1">
      <x:c r="A97" s="27" t="str">
        <x:v>UX-093</x:v>
      </x:c>
      <x:c r="B97" s="23" t="str">
        <x:v>08 设备、视口与平台兼容</x:v>
      </x:c>
      <x:c r="C97" s="23" t="str">
        <x:v>运行环境</x:v>
      </x:c>
      <x:c r="D97" s="23" t="str">
        <x:v>H5 / TapTap / 桌面</x:v>
      </x:c>
      <x:c r="E97" s="21" t="str">
        <x:v>Android Chrome/WebView 正常</x:v>
      </x:c>
      <x:c r="F97" s="21" t="str">
        <x:v>返回键、触控、音频、视频、存储和字体一致</x:v>
      </x:c>
      <x:c r="G97" s="21" t="str">
        <x:v>Android 真机/WebView</x:v>
      </x:c>
      <x:c r="H97" s="21" t="str">
        <x:v>理解/操作</x:v>
      </x:c>
      <x:c r="I97" s="21" t="str">
        <x:v>全流程</x:v>
      </x:c>
      <x:c r="J97" s="21" t="str">
        <x:v>全平台</x:v>
      </x:c>
      <x:c r="K97" s="21" t="str"/>
      <x:c r="L97" s="29" t="str">
        <x:v>未检查</x:v>
      </x:c>
      <x:c r="M97" s="29" t="str">
        <x:v>未确认</x:v>
      </x:c>
      <x:c r="N97" s="29" t="str">
        <x:v>未确认</x:v>
      </x:c>
      <x:c r="O97" s="29" t="str"/>
      <x:c r="P97" s="29" t="str">
        <x:f>IF(OR(L97="未检查",L97="通过",L97="不适用"),"",IFERROR(VLOOKUP(M97,'口径与下拉'!$A$9:$B$14,2,FALSE),0)+IFERROR(VLOOKUP(N97,'口径与下拉'!$D$9:$E$14,2,FALSE),0)+O97)</x:f>
      </x:c>
      <x:c r="Q97" s="29" t="str"/>
      <x:c r="R97" s="29" t="str">
        <x:f>IF(P97="","",IF(P97&gt;=13,"P0",IF(P97&gt;=10,"P1",IF(P97&gt;=7,"P2","P3"))))</x:f>
      </x:c>
      <x:c r="S97" s="21" t="str"/>
      <x:c r="T97" s="21" t="str"/>
      <x:c r="U97" s="21" t="str"/>
      <x:c r="V97" s="31" t="str"/>
      <x:c r="W97" s="21" t="str"/>
      <x:c r="X97" s="21" t="str">
        <x:v>未复测</x:v>
      </x:c>
      <x:c r="Y97" s="21" t="str"/>
    </x:row>
    <x:row r="98" ht="52" customHeight="1">
      <x:c r="A98" s="27" t="str">
        <x:v>UX-094</x:v>
      </x:c>
      <x:c r="B98" s="23" t="str">
        <x:v>08 设备、视口与平台兼容</x:v>
      </x:c>
      <x:c r="C98" s="23" t="str">
        <x:v>运行环境</x:v>
      </x:c>
      <x:c r="D98" s="23" t="str">
        <x:v>H5 / TapTap / 桌面</x:v>
      </x:c>
      <x:c r="E98" s="21" t="str">
        <x:v>TapTap 容器不依赖外部浏览器能力</x:v>
      </x:c>
      <x:c r="F98" s="21" t="str">
        <x:v>包内入口、返回、资源路径、权限与缓存正常</x:v>
      </x:c>
      <x:c r="G98" s="21" t="str">
        <x:v>解压包在目标容器验收</x:v>
      </x:c>
      <x:c r="H98" s="21" t="str">
        <x:v>平台/发布</x:v>
      </x:c>
      <x:c r="I98" s="21" t="str">
        <x:v>全流程</x:v>
      </x:c>
      <x:c r="J98" s="21" t="str">
        <x:v>TapTap</x:v>
      </x:c>
      <x:c r="K98" s="21" t="str"/>
      <x:c r="L98" s="29" t="str">
        <x:v>未检查</x:v>
      </x:c>
      <x:c r="M98" s="29" t="str">
        <x:v>未确认</x:v>
      </x:c>
      <x:c r="N98" s="29" t="str">
        <x:v>未确认</x:v>
      </x:c>
      <x:c r="O98" s="29" t="str"/>
      <x:c r="P98" s="29" t="str">
        <x:f>IF(OR(L98="未检查",L98="通过",L98="不适用"),"",IFERROR(VLOOKUP(M98,'口径与下拉'!$A$9:$B$14,2,FALSE),0)+IFERROR(VLOOKUP(N98,'口径与下拉'!$D$9:$E$14,2,FALSE),0)+O98)</x:f>
      </x:c>
      <x:c r="Q98" s="29" t="str"/>
      <x:c r="R98" s="29" t="str">
        <x:f>IF(P98="","",IF(P98&gt;=13,"P0",IF(P98&gt;=10,"P1",IF(P98&gt;=7,"P2","P3"))))</x:f>
      </x:c>
      <x:c r="S98" s="21" t="str"/>
      <x:c r="T98" s="21" t="str"/>
      <x:c r="U98" s="21" t="str"/>
      <x:c r="V98" s="31" t="str"/>
      <x:c r="W98" s="21" t="str"/>
      <x:c r="X98" s="21" t="str">
        <x:v>未复测</x:v>
      </x:c>
      <x:c r="Y98" s="21" t="str"/>
    </x:row>
    <x:row r="99" ht="52" customHeight="1">
      <x:c r="A99" s="27" t="str">
        <x:v>UX-095</x:v>
      </x:c>
      <x:c r="B99" s="23" t="str">
        <x:v>08 设备、视口与平台兼容</x:v>
      </x:c>
      <x:c r="C99" s="23" t="str">
        <x:v>运行环境</x:v>
      </x:c>
      <x:c r="D99" s="23" t="str">
        <x:v>H5 / TapTap / 桌面</x:v>
      </x:c>
      <x:c r="E99" s="21" t="str">
        <x:v>桌面浏览器可浏览与操作</x:v>
      </x:c>
      <x:c r="F99" s="21" t="str">
        <x:v>大屏不无限拉宽；鼠标拖拽、滚轮、键盘可用</x:v>
      </x:c>
      <x:c r="G99" s="21" t="str">
        <x:v>Chrome/Edge 桌面检查</x:v>
      </x:c>
      <x:c r="H99" s="21" t="str">
        <x:v>理解/操作</x:v>
      </x:c>
      <x:c r="I99" s="21" t="str">
        <x:v>全流程</x:v>
      </x:c>
      <x:c r="J99" s="21" t="str">
        <x:v>全平台</x:v>
      </x:c>
      <x:c r="K99" s="21" t="str"/>
      <x:c r="L99" s="29" t="str">
        <x:v>未检查</x:v>
      </x:c>
      <x:c r="M99" s="29" t="str">
        <x:v>未确认</x:v>
      </x:c>
      <x:c r="N99" s="29" t="str">
        <x:v>未确认</x:v>
      </x:c>
      <x:c r="O99" s="29" t="str"/>
      <x:c r="P99" s="29" t="str">
        <x:f>IF(OR(L99="未检查",L99="通过",L99="不适用"),"",IFERROR(VLOOKUP(M99,'口径与下拉'!$A$9:$B$14,2,FALSE),0)+IFERROR(VLOOKUP(N99,'口径与下拉'!$D$9:$E$14,2,FALSE),0)+O99)</x:f>
      </x:c>
      <x:c r="Q99" s="29" t="str"/>
      <x:c r="R99" s="29" t="str">
        <x:f>IF(P99="","",IF(P99&gt;=13,"P0",IF(P99&gt;=10,"P1",IF(P99&gt;=7,"P2","P3"))))</x:f>
      </x:c>
      <x:c r="S99" s="21" t="str"/>
      <x:c r="T99" s="21" t="str"/>
      <x:c r="U99" s="21" t="str"/>
      <x:c r="V99" s="31" t="str"/>
      <x:c r="W99" s="21" t="str"/>
      <x:c r="X99" s="21" t="str">
        <x:v>未复测</x:v>
      </x:c>
      <x:c r="Y99" s="21" t="str"/>
    </x:row>
    <x:row r="100" ht="52" customHeight="1">
      <x:c r="A100" s="27" t="str">
        <x:v>UX-096</x:v>
      </x:c>
      <x:c r="B100" s="23" t="str">
        <x:v>08 设备、视口与平台兼容</x:v>
      </x:c>
      <x:c r="C100" s="23" t="str">
        <x:v>运行环境</x:v>
      </x:c>
      <x:c r="D100" s="23" t="str">
        <x:v>H5 / TapTap / 桌面</x:v>
      </x:c>
      <x:c r="E100" s="21" t="str">
        <x:v>横竖屏切换不丢状态</x:v>
      </x:c>
      <x:c r="F100" s="21" t="str">
        <x:v>旋转只重排布局，不重复初始化或重置当前交互</x:v>
      </x:c>
      <x:c r="G100" s="21" t="str">
        <x:v>操作中旋转设备</x:v>
      </x:c>
      <x:c r="H100" s="21" t="str">
        <x:v>理解/操作</x:v>
      </x:c>
      <x:c r="I100" s="21" t="str">
        <x:v>全流程</x:v>
      </x:c>
      <x:c r="J100" s="21" t="str">
        <x:v>全平台</x:v>
      </x:c>
      <x:c r="K100" s="21" t="str"/>
      <x:c r="L100" s="29" t="str">
        <x:v>未检查</x:v>
      </x:c>
      <x:c r="M100" s="29" t="str">
        <x:v>未确认</x:v>
      </x:c>
      <x:c r="N100" s="29" t="str">
        <x:v>未确认</x:v>
      </x:c>
      <x:c r="O100" s="29" t="str"/>
      <x:c r="P100" s="29" t="str">
        <x:f>IF(OR(L100="未检查",L100="通过",L100="不适用"),"",IFERROR(VLOOKUP(M100,'口径与下拉'!$A$9:$B$14,2,FALSE),0)+IFERROR(VLOOKUP(N100,'口径与下拉'!$D$9:$E$14,2,FALSE),0)+O100)</x:f>
      </x:c>
      <x:c r="Q100" s="29" t="str"/>
      <x:c r="R100" s="29" t="str">
        <x:f>IF(P100="","",IF(P100&gt;=13,"P0",IF(P100&gt;=10,"P1",IF(P100&gt;=7,"P2","P3"))))</x:f>
      </x:c>
      <x:c r="S100" s="21" t="str"/>
      <x:c r="T100" s="21" t="str"/>
      <x:c r="U100" s="21" t="str"/>
      <x:c r="V100" s="31" t="str"/>
      <x:c r="W100" s="21" t="str"/>
      <x:c r="X100" s="21" t="str">
        <x:v>未复测</x:v>
      </x:c>
      <x:c r="Y100" s="21" t="str"/>
    </x:row>
    <x:row r="101" ht="52" customHeight="1">
      <x:c r="A101" s="27" t="str">
        <x:v>UX-097</x:v>
      </x:c>
      <x:c r="B101" s="23" t="str">
        <x:v>08 设备、视口与平台兼容</x:v>
      </x:c>
      <x:c r="C101" s="23" t="str">
        <x:v>运行环境</x:v>
      </x:c>
      <x:c r="D101" s="23" t="str">
        <x:v>H5 / TapTap / 桌面</x:v>
      </x:c>
      <x:c r="E101" s="21" t="str">
        <x:v>浏览器前进后退行为安全</x:v>
      </x:c>
      <x:c r="F101" s="21" t="str">
        <x:v>不会退出未保存流程或产生重复状态；必要时给确认</x:v>
      </x:c>
      <x:c r="G101" s="21" t="str">
        <x:v>历史栈测试</x:v>
      </x:c>
      <x:c r="H101" s="21" t="str">
        <x:v>理解/操作</x:v>
      </x:c>
      <x:c r="I101" s="21" t="str">
        <x:v>全流程</x:v>
      </x:c>
      <x:c r="J101" s="21" t="str">
        <x:v>全平台</x:v>
      </x:c>
      <x:c r="K101" s="21" t="str"/>
      <x:c r="L101" s="29" t="str">
        <x:v>未检查</x:v>
      </x:c>
      <x:c r="M101" s="29" t="str">
        <x:v>未确认</x:v>
      </x:c>
      <x:c r="N101" s="29" t="str">
        <x:v>未确认</x:v>
      </x:c>
      <x:c r="O101" s="29" t="str"/>
      <x:c r="P101" s="29" t="str">
        <x:f>IF(OR(L101="未检查",L101="通过",L101="不适用"),"",IFERROR(VLOOKUP(M101,'口径与下拉'!$A$9:$B$14,2,FALSE),0)+IFERROR(VLOOKUP(N101,'口径与下拉'!$D$9:$E$14,2,FALSE),0)+O101)</x:f>
      </x:c>
      <x:c r="Q101" s="29" t="str"/>
      <x:c r="R101" s="29" t="str">
        <x:f>IF(P101="","",IF(P101&gt;=13,"P0",IF(P101&gt;=10,"P1",IF(P101&gt;=7,"P2","P3"))))</x:f>
      </x:c>
      <x:c r="S101" s="21" t="str"/>
      <x:c r="T101" s="21" t="str"/>
      <x:c r="U101" s="21" t="str"/>
      <x:c r="V101" s="31" t="str"/>
      <x:c r="W101" s="21" t="str"/>
      <x:c r="X101" s="21" t="str">
        <x:v>未复测</x:v>
      </x:c>
      <x:c r="Y101" s="21" t="str"/>
    </x:row>
    <x:row r="102" ht="52" customHeight="1">
      <x:c r="A102" s="27" t="str">
        <x:v>UX-098</x:v>
      </x:c>
      <x:c r="B102" s="23" t="str">
        <x:v>08 设备、视口与平台兼容</x:v>
      </x:c>
      <x:c r="C102" s="23" t="str">
        <x:v>运行环境</x:v>
      </x:c>
      <x:c r="D102" s="23" t="str">
        <x:v>H5 / TapTap / 桌面</x:v>
      </x:c>
      <x:c r="E102" s="21" t="str">
        <x:v>刷新与重新进入保持正确入口</x:v>
      </x:c>
      <x:c r="F102" s="21" t="str">
        <x:v>刷新后恢复可恢复状态，不留遮罩或空白页</x:v>
      </x:c>
      <x:c r="G102" s="21" t="str">
        <x:v>各主页面刷新</x:v>
      </x:c>
      <x:c r="H102" s="21" t="str">
        <x:v>理解/操作</x:v>
      </x:c>
      <x:c r="I102" s="21" t="str">
        <x:v>全流程</x:v>
      </x:c>
      <x:c r="J102" s="21" t="str">
        <x:v>全平台</x:v>
      </x:c>
      <x:c r="K102" s="21" t="str"/>
      <x:c r="L102" s="29" t="str">
        <x:v>未检查</x:v>
      </x:c>
      <x:c r="M102" s="29" t="str">
        <x:v>未确认</x:v>
      </x:c>
      <x:c r="N102" s="29" t="str">
        <x:v>未确认</x:v>
      </x:c>
      <x:c r="O102" s="29" t="str"/>
      <x:c r="P102" s="29" t="str">
        <x:f>IF(OR(L102="未检查",L102="通过",L102="不适用"),"",IFERROR(VLOOKUP(M102,'口径与下拉'!$A$9:$B$14,2,FALSE),0)+IFERROR(VLOOKUP(N102,'口径与下拉'!$D$9:$E$14,2,FALSE),0)+O102)</x:f>
      </x:c>
      <x:c r="Q102" s="29" t="str"/>
      <x:c r="R102" s="29" t="str">
        <x:f>IF(P102="","",IF(P102&gt;=13,"P0",IF(P102&gt;=10,"P1",IF(P102&gt;=7,"P2","P3"))))</x:f>
      </x:c>
      <x:c r="S102" s="21" t="str"/>
      <x:c r="T102" s="21" t="str"/>
      <x:c r="U102" s="21" t="str"/>
      <x:c r="V102" s="31" t="str"/>
      <x:c r="W102" s="21" t="str"/>
      <x:c r="X102" s="21" t="str">
        <x:v>未复测</x:v>
      </x:c>
      <x:c r="Y102" s="21" t="str"/>
    </x:row>
    <x:row r="103" ht="52" customHeight="1">
      <x:c r="A103" s="27" t="str">
        <x:v>UX-099</x:v>
      </x:c>
      <x:c r="B103" s="23" t="str">
        <x:v>08 设备、视口与平台兼容</x:v>
      </x:c>
      <x:c r="C103" s="23" t="str">
        <x:v>运行环境</x:v>
      </x:c>
      <x:c r="D103" s="23" t="str">
        <x:v>H5 / TapTap / 桌面</x:v>
      </x:c>
      <x:c r="E103" s="21" t="str">
        <x:v>隐私/无痕与禁存储有降级</x:v>
      </x:c>
      <x:c r="F103" s="21" t="str">
        <x:v>明确提示无法持久存档，不出现假保存成功</x:v>
      </x:c>
      <x:c r="G103" s="21" t="str">
        <x:v>禁用/满额存储测试</x:v>
      </x:c>
      <x:c r="H103" s="21" t="str">
        <x:v>理解/操作</x:v>
      </x:c>
      <x:c r="I103" s="21" t="str">
        <x:v>全流程</x:v>
      </x:c>
      <x:c r="J103" s="21" t="str">
        <x:v>全平台</x:v>
      </x:c>
      <x:c r="K103" s="21" t="str"/>
      <x:c r="L103" s="29" t="str">
        <x:v>未检查</x:v>
      </x:c>
      <x:c r="M103" s="29" t="str">
        <x:v>未确认</x:v>
      </x:c>
      <x:c r="N103" s="29" t="str">
        <x:v>未确认</x:v>
      </x:c>
      <x:c r="O103" s="29" t="str"/>
      <x:c r="P103" s="29" t="str">
        <x:f>IF(OR(L103="未检查",L103="通过",L103="不适用"),"",IFERROR(VLOOKUP(M103,'口径与下拉'!$A$9:$B$14,2,FALSE),0)+IFERROR(VLOOKUP(N103,'口径与下拉'!$D$9:$E$14,2,FALSE),0)+O103)</x:f>
      </x:c>
      <x:c r="Q103" s="29" t="str"/>
      <x:c r="R103" s="29" t="str">
        <x:f>IF(P103="","",IF(P103&gt;=13,"P0",IF(P103&gt;=10,"P1",IF(P103&gt;=7,"P2","P3"))))</x:f>
      </x:c>
      <x:c r="S103" s="21" t="str"/>
      <x:c r="T103" s="21" t="str"/>
      <x:c r="U103" s="21" t="str"/>
      <x:c r="V103" s="31" t="str"/>
      <x:c r="W103" s="21" t="str"/>
      <x:c r="X103" s="21" t="str">
        <x:v>未复测</x:v>
      </x:c>
      <x:c r="Y103" s="21" t="str"/>
    </x:row>
    <x:row r="104" ht="52" customHeight="1">
      <x:c r="A104" s="27" t="str">
        <x:v>UX-100</x:v>
      </x:c>
      <x:c r="B104" s="23" t="str">
        <x:v>08 设备、视口与平台兼容</x:v>
      </x:c>
      <x:c r="C104" s="23" t="str">
        <x:v>运行环境</x:v>
      </x:c>
      <x:c r="D104" s="23" t="str">
        <x:v>H5 / TapTap / 桌面</x:v>
      </x:c>
      <x:c r="E104" s="21" t="str">
        <x:v>PWA/桌面添加行为合理</x:v>
      </x:c>
      <x:c r="F104" s="21" t="str">
        <x:v>图标、名称、启动方向和离线说明正确；若不支持则不误导</x:v>
      </x:c>
      <x:c r="G104" s="21" t="str">
        <x:v>manifest 与安装测试</x:v>
      </x:c>
      <x:c r="H104" s="21" t="str">
        <x:v>理解/操作</x:v>
      </x:c>
      <x:c r="I104" s="21" t="str">
        <x:v>全流程</x:v>
      </x:c>
      <x:c r="J104" s="21" t="str">
        <x:v>全平台</x:v>
      </x:c>
      <x:c r="K104" s="21" t="str"/>
      <x:c r="L104" s="29" t="str">
        <x:v>未检查</x:v>
      </x:c>
      <x:c r="M104" s="29" t="str">
        <x:v>未确认</x:v>
      </x:c>
      <x:c r="N104" s="29" t="str">
        <x:v>未确认</x:v>
      </x:c>
      <x:c r="O104" s="29" t="str"/>
      <x:c r="P104" s="29" t="str">
        <x:f>IF(OR(L104="未检查",L104="通过",L104="不适用"),"",IFERROR(VLOOKUP(M104,'口径与下拉'!$A$9:$B$14,2,FALSE),0)+IFERROR(VLOOKUP(N104,'口径与下拉'!$D$9:$E$14,2,FALSE),0)+O104)</x:f>
      </x:c>
      <x:c r="Q104" s="29" t="str"/>
      <x:c r="R104" s="29" t="str">
        <x:f>IF(P104="","",IF(P104&gt;=13,"P0",IF(P104&gt;=10,"P1",IF(P104&gt;=7,"P2","P3"))))</x:f>
      </x:c>
      <x:c r="S104" s="21" t="str"/>
      <x:c r="T104" s="21" t="str"/>
      <x:c r="U104" s="21" t="str"/>
      <x:c r="V104" s="31" t="str"/>
      <x:c r="W104" s="21" t="str"/>
      <x:c r="X104" s="21" t="str">
        <x:v>未复测</x:v>
      </x:c>
      <x:c r="Y104" s="21" t="str"/>
    </x:row>
    <x:row r="105" ht="52" customHeight="1">
      <x:c r="A105" s="27" t="str">
        <x:v>UX-101</x:v>
      </x:c>
      <x:c r="B105" s="23" t="str">
        <x:v>08 设备、视口与平台兼容</x:v>
      </x:c>
      <x:c r="C105" s="23" t="str">
        <x:v>运行环境</x:v>
      </x:c>
      <x:c r="D105" s="23" t="str">
        <x:v>H5 / TapTap / 桌面</x:v>
      </x:c>
      <x:c r="E105" s="21" t="str">
        <x:v>输入法与系统字体放大不破坏布局</x:v>
      </x:c>
      <x:c r="F105" s="21" t="str">
        <x:v>中文输入、字体放大、粗体文本下关键操作可达</x:v>
      </x:c>
      <x:c r="G105" s="21" t="str">
        <x:v>系统级可访问设置</x:v>
      </x:c>
      <x:c r="H105" s="21" t="str">
        <x:v>理解/操作</x:v>
      </x:c>
      <x:c r="I105" s="21" t="str">
        <x:v>全流程</x:v>
      </x:c>
      <x:c r="J105" s="21" t="str">
        <x:v>全平台</x:v>
      </x:c>
      <x:c r="K105" s="21" t="str"/>
      <x:c r="L105" s="29" t="str">
        <x:v>未检查</x:v>
      </x:c>
      <x:c r="M105" s="29" t="str">
        <x:v>未确认</x:v>
      </x:c>
      <x:c r="N105" s="29" t="str">
        <x:v>未确认</x:v>
      </x:c>
      <x:c r="O105" s="29" t="str"/>
      <x:c r="P105" s="29" t="str">
        <x:f>IF(OR(L105="未检查",L105="通过",L105="不适用"),"",IFERROR(VLOOKUP(M105,'口径与下拉'!$A$9:$B$14,2,FALSE),0)+IFERROR(VLOOKUP(N105,'口径与下拉'!$D$9:$E$14,2,FALSE),0)+O105)</x:f>
      </x:c>
      <x:c r="Q105" s="29" t="str"/>
      <x:c r="R105" s="29" t="str">
        <x:f>IF(P105="","",IF(P105&gt;=13,"P0",IF(P105&gt;=10,"P1",IF(P105&gt;=7,"P2","P3"))))</x:f>
      </x:c>
      <x:c r="S105" s="21" t="str"/>
      <x:c r="T105" s="21" t="str"/>
      <x:c r="U105" s="21" t="str"/>
      <x:c r="V105" s="31" t="str"/>
      <x:c r="W105" s="21" t="str"/>
      <x:c r="X105" s="21" t="str">
        <x:v>未复测</x:v>
      </x:c>
      <x:c r="Y105" s="21" t="str"/>
    </x:row>
    <x:row r="106" ht="52" customHeight="1">
      <x:c r="A106" s="27" t="str">
        <x:v>UX-102</x:v>
      </x:c>
      <x:c r="B106" s="23" t="str">
        <x:v>08 设备、视口与平台兼容</x:v>
      </x:c>
      <x:c r="C106" s="23" t="str">
        <x:v>运行环境</x:v>
      </x:c>
      <x:c r="D106" s="23" t="str">
        <x:v>H5 / TapTap / 桌面</x:v>
      </x:c>
      <x:c r="E106" s="21" t="str">
        <x:v>不同 DPR 下资源清晰且尺寸稳定</x:v>
      </x:c>
      <x:c r="F106" s="21" t="str">
        <x:v>1×/2×/3× 不出现异常缩放、边线消失或过度内存</x:v>
      </x:c>
      <x:c r="G106" s="21" t="str">
        <x:v>多 DPR 截图与性能检查</x:v>
      </x:c>
      <x:c r="H106" s="21" t="str">
        <x:v>理解/操作</x:v>
      </x:c>
      <x:c r="I106" s="21" t="str">
        <x:v>全流程</x:v>
      </x:c>
      <x:c r="J106" s="21" t="str">
        <x:v>全平台</x:v>
      </x:c>
      <x:c r="K106" s="21" t="str"/>
      <x:c r="L106" s="29" t="str">
        <x:v>未检查</x:v>
      </x:c>
      <x:c r="M106" s="29" t="str">
        <x:v>未确认</x:v>
      </x:c>
      <x:c r="N106" s="29" t="str">
        <x:v>未确认</x:v>
      </x:c>
      <x:c r="O106" s="29" t="str"/>
      <x:c r="P106" s="29" t="str">
        <x:f>IF(OR(L106="未检查",L106="通过",L106="不适用"),"",IFERROR(VLOOKUP(M106,'口径与下拉'!$A$9:$B$14,2,FALSE),0)+IFERROR(VLOOKUP(N106,'口径与下拉'!$D$9:$E$14,2,FALSE),0)+O106)</x:f>
      </x:c>
      <x:c r="Q106" s="29" t="str"/>
      <x:c r="R106" s="29" t="str">
        <x:f>IF(P106="","",IF(P106&gt;=13,"P0",IF(P106&gt;=10,"P1",IF(P106&gt;=7,"P2","P3"))))</x:f>
      </x:c>
      <x:c r="S106" s="21" t="str"/>
      <x:c r="T106" s="21" t="str"/>
      <x:c r="U106" s="21" t="str"/>
      <x:c r="V106" s="31" t="str"/>
      <x:c r="W106" s="21" t="str"/>
      <x:c r="X106" s="21" t="str">
        <x:v>未复测</x:v>
      </x:c>
      <x:c r="Y106" s="21" t="str"/>
    </x:row>
    <x:row r="107" ht="52" customHeight="1">
      <x:c r="A107" s="27" t="str">
        <x:v>UX-103</x:v>
      </x:c>
      <x:c r="B107" s="23" t="str">
        <x:v>09 灵阵合并棋盘</x:v>
      </x:c>
      <x:c r="C107" s="23" t="str">
        <x:v>7×7 核心玩法</x:v>
      </x:c>
      <x:c r="D107" s="23" t="str">
        <x:v>灵阵合并页</x:v>
      </x:c>
      <x:c r="E107" s="21" t="str">
        <x:v>棋盘规格为 7×7 共 49 格</x:v>
      </x:c>
      <x:c r="F107" s="21" t="str">
        <x:v>渲染、存档、碰撞和索引均为 49 格，无越界/缺格</x:v>
      </x:c>
      <x:c r="G107" s="21" t="str">
        <x:v>DOM/状态/视觉三方核对</x:v>
      </x:c>
      <x:c r="H107" s="21" t="str">
        <x:v>核心玩法/数据</x:v>
      </x:c>
      <x:c r="I107" s="21" t="str">
        <x:v>全流程</x:v>
      </x:c>
      <x:c r="J107" s="21" t="str">
        <x:v>全平台</x:v>
      </x:c>
      <x:c r="K107" s="21" t="str"/>
      <x:c r="L107" s="29" t="str">
        <x:v>未检查</x:v>
      </x:c>
      <x:c r="M107" s="29" t="str">
        <x:v>未确认</x:v>
      </x:c>
      <x:c r="N107" s="29" t="str">
        <x:v>未确认</x:v>
      </x:c>
      <x:c r="O107" s="29" t="str"/>
      <x:c r="P107" s="29" t="str">
        <x:f>IF(OR(L107="未检查",L107="通过",L107="不适用"),"",IFERROR(VLOOKUP(M107,'口径与下拉'!$A$9:$B$14,2,FALSE),0)+IFERROR(VLOOKUP(N107,'口径与下拉'!$D$9:$E$14,2,FALSE),0)+O107)</x:f>
      </x:c>
      <x:c r="Q107" s="29" t="str"/>
      <x:c r="R107" s="29" t="str">
        <x:f>IF(P107="","",IF(P107&gt;=13,"P0",IF(P107&gt;=10,"P1",IF(P107&gt;=7,"P2","P3"))))</x:f>
      </x:c>
      <x:c r="S107" s="21" t="str"/>
      <x:c r="T107" s="21" t="str"/>
      <x:c r="U107" s="21" t="str"/>
      <x:c r="V107" s="31" t="str"/>
      <x:c r="W107" s="21" t="str"/>
      <x:c r="X107" s="21" t="str">
        <x:v>未复测</x:v>
      </x:c>
      <x:c r="Y107" s="21" t="str"/>
    </x:row>
    <x:row r="108" ht="52" customHeight="1">
      <x:c r="A108" s="27" t="str">
        <x:v>UX-104</x:v>
      </x:c>
      <x:c r="B108" s="23" t="str">
        <x:v>09 灵阵合并棋盘</x:v>
      </x:c>
      <x:c r="C108" s="23" t="str">
        <x:v>7×7 核心玩法</x:v>
      </x:c>
      <x:c r="D108" s="23" t="str">
        <x:v>灵阵合并页</x:v>
      </x:c>
      <x:c r="E108" s="21" t="str">
        <x:v>新档开放 35 格且留足空位</x:v>
      </x:c>
      <x:c r="F108" s="21" t="str">
        <x:v>初始盘面至少一半可操作空位，不因发奖立即拥堵</x:v>
      </x:c>
      <x:c r="G108" s="21" t="str">
        <x:v>创建多次新档统计</x:v>
      </x:c>
      <x:c r="H108" s="21" t="str">
        <x:v>节奏/可玩性</x:v>
      </x:c>
      <x:c r="I108" s="21" t="str">
        <x:v>首局引导</x:v>
      </x:c>
      <x:c r="J108" s="21" t="str">
        <x:v>全平台</x:v>
      </x:c>
      <x:c r="K108" s="21" t="str"/>
      <x:c r="L108" s="29" t="str">
        <x:v>未检查</x:v>
      </x:c>
      <x:c r="M108" s="29" t="str">
        <x:v>未确认</x:v>
      </x:c>
      <x:c r="N108" s="29" t="str">
        <x:v>未确认</x:v>
      </x:c>
      <x:c r="O108" s="29" t="str"/>
      <x:c r="P108" s="29" t="str">
        <x:f>IF(OR(L108="未检查",L108="通过",L108="不适用"),"",IFERROR(VLOOKUP(M108,'口径与下拉'!$A$9:$B$14,2,FALSE),0)+IFERROR(VLOOKUP(N108,'口径与下拉'!$D$9:$E$14,2,FALSE),0)+O108)</x:f>
      </x:c>
      <x:c r="Q108" s="29" t="str"/>
      <x:c r="R108" s="29" t="str">
        <x:f>IF(P108="","",IF(P108&gt;=13,"P0",IF(P108&gt;=10,"P1",IF(P108&gt;=7,"P2","P3"))))</x:f>
      </x:c>
      <x:c r="S108" s="21" t="str"/>
      <x:c r="T108" s="21" t="str"/>
      <x:c r="U108" s="21" t="str"/>
      <x:c r="V108" s="31" t="str"/>
      <x:c r="W108" s="21" t="str"/>
      <x:c r="X108" s="21" t="str">
        <x:v>未复测</x:v>
      </x:c>
      <x:c r="Y108" s="21" t="str"/>
    </x:row>
    <x:row r="109" ht="52" customHeight="1">
      <x:c r="A109" s="27" t="str">
        <x:v>UX-105</x:v>
      </x:c>
      <x:c r="B109" s="23" t="str">
        <x:v>09 灵阵合并棋盘</x:v>
      </x:c>
      <x:c r="C109" s="23" t="str">
        <x:v>7×7 核心玩法</x:v>
      </x:c>
      <x:c r="D109" s="23" t="str">
        <x:v>灵阵合并页</x:v>
      </x:c>
      <x:c r="E109" s="21" t="str">
        <x:v>永久生成器单击消耗 1 灵力</x:v>
      </x:c>
      <x:c r="F109" s="21" t="str">
        <x:v>一次有效生成只扣一次；灵力不足不生成不扣负数</x:v>
      </x:c>
      <x:c r="G109" s="21" t="str">
        <x:v>连点与边界数值测试</x:v>
      </x:c>
      <x:c r="H109" s="21" t="str">
        <x:v>核心玩法/经济</x:v>
      </x:c>
      <x:c r="I109" s="21" t="str">
        <x:v>全流程</x:v>
      </x:c>
      <x:c r="J109" s="21" t="str">
        <x:v>全平台</x:v>
      </x:c>
      <x:c r="K109" s="21" t="str"/>
      <x:c r="L109" s="29" t="str">
        <x:v>未检查</x:v>
      </x:c>
      <x:c r="M109" s="29" t="str">
        <x:v>未确认</x:v>
      </x:c>
      <x:c r="N109" s="29" t="str">
        <x:v>未确认</x:v>
      </x:c>
      <x:c r="O109" s="29" t="str"/>
      <x:c r="P109" s="29" t="str">
        <x:f>IF(OR(L109="未检查",L109="通过",L109="不适用"),"",IFERROR(VLOOKUP(M109,'口径与下拉'!$A$9:$B$14,2,FALSE),0)+IFERROR(VLOOKUP(N109,'口径与下拉'!$D$9:$E$14,2,FALSE),0)+O109)</x:f>
      </x:c>
      <x:c r="Q109" s="29" t="str"/>
      <x:c r="R109" s="29" t="str">
        <x:f>IF(P109="","",IF(P109&gt;=13,"P0",IF(P109&gt;=10,"P1",IF(P109&gt;=7,"P2","P3"))))</x:f>
      </x:c>
      <x:c r="S109" s="21" t="str"/>
      <x:c r="T109" s="21" t="str"/>
      <x:c r="U109" s="21" t="str"/>
      <x:c r="V109" s="31" t="str"/>
      <x:c r="W109" s="21" t="str"/>
      <x:c r="X109" s="21" t="str">
        <x:v>未复测</x:v>
      </x:c>
      <x:c r="Y109" s="21" t="str"/>
    </x:row>
    <x:row r="110" ht="52" customHeight="1">
      <x:c r="A110" s="27" t="str">
        <x:v>UX-106</x:v>
      </x:c>
      <x:c r="B110" s="23" t="str">
        <x:v>09 灵阵合并棋盘</x:v>
      </x:c>
      <x:c r="C110" s="23" t="str">
        <x:v>7×7 核心玩法</x:v>
      </x:c>
      <x:c r="D110" s="23" t="str">
        <x:v>灵阵合并页</x:v>
      </x:c>
      <x:c r="E110" s="21" t="str">
        <x:v>家族解锁时安全发放生成器</x:v>
      </x:c>
      <x:c r="F110" s="21" t="str">
        <x:v>只发一次；缺失旧档可补发；满盘进入待领取</x:v>
      </x:c>
      <x:c r="G110" s="21" t="str">
        <x:v>新档/旧档/满盘三态</x:v>
      </x:c>
      <x:c r="H110" s="21" t="str">
        <x:v>数据/防软锁</x:v>
      </x:c>
      <x:c r="I110" s="21" t="str">
        <x:v>全流程</x:v>
      </x:c>
      <x:c r="J110" s="21" t="str">
        <x:v>全平台</x:v>
      </x:c>
      <x:c r="K110" s="21" t="str"/>
      <x:c r="L110" s="29" t="str">
        <x:v>未检查</x:v>
      </x:c>
      <x:c r="M110" s="29" t="str">
        <x:v>未确认</x:v>
      </x:c>
      <x:c r="N110" s="29" t="str">
        <x:v>未确认</x:v>
      </x:c>
      <x:c r="O110" s="29" t="str"/>
      <x:c r="P110" s="29" t="str">
        <x:f>IF(OR(L110="未检查",L110="通过",L110="不适用"),"",IFERROR(VLOOKUP(M110,'口径与下拉'!$A$9:$B$14,2,FALSE),0)+IFERROR(VLOOKUP(N110,'口径与下拉'!$D$9:$E$14,2,FALSE),0)+O110)</x:f>
      </x:c>
      <x:c r="Q110" s="29" t="str"/>
      <x:c r="R110" s="29" t="str">
        <x:f>IF(P110="","",IF(P110&gt;=13,"P0",IF(P110&gt;=10,"P1",IF(P110&gt;=7,"P2","P3"))))</x:f>
      </x:c>
      <x:c r="S110" s="21" t="str"/>
      <x:c r="T110" s="21" t="str"/>
      <x:c r="U110" s="21" t="str"/>
      <x:c r="V110" s="31" t="str"/>
      <x:c r="W110" s="21" t="str"/>
      <x:c r="X110" s="21" t="str">
        <x:v>未复测</x:v>
      </x:c>
      <x:c r="Y110" s="21" t="str"/>
    </x:row>
    <x:row r="111" ht="52" customHeight="1">
      <x:c r="A111" s="27" t="str">
        <x:v>UX-107</x:v>
      </x:c>
      <x:c r="B111" s="23" t="str">
        <x:v>09 灵阵合并棋盘</x:v>
      </x:c>
      <x:c r="C111" s="23" t="str">
        <x:v>7×7 核心玩法</x:v>
      </x:c>
      <x:c r="D111" s="23" t="str">
        <x:v>灵阵合并页</x:v>
      </x:c>
      <x:c r="E111" s="21" t="str">
        <x:v>生成器部件成对发放并二合一</x:v>
      </x:c>
      <x:c r="F111" s="21" t="str">
        <x:v>首次出现数量、阶位、合并结果与提示一致</x:v>
      </x:c>
      <x:c r="G111" s="21" t="str">
        <x:v>解锁节点核对</x:v>
      </x:c>
      <x:c r="H111" s="21" t="str">
        <x:v>学习/经济</x:v>
      </x:c>
      <x:c r="I111" s="21" t="str">
        <x:v>全流程</x:v>
      </x:c>
      <x:c r="J111" s="21" t="str">
        <x:v>全平台</x:v>
      </x:c>
      <x:c r="K111" s="21" t="str"/>
      <x:c r="L111" s="29" t="str">
        <x:v>未检查</x:v>
      </x:c>
      <x:c r="M111" s="29" t="str">
        <x:v>未确认</x:v>
      </x:c>
      <x:c r="N111" s="29" t="str">
        <x:v>未确认</x:v>
      </x:c>
      <x:c r="O111" s="29" t="str"/>
      <x:c r="P111" s="29" t="str">
        <x:f>IF(OR(L111="未检查",L111="通过",L111="不适用"),"",IFERROR(VLOOKUP(M111,'口径与下拉'!$A$9:$B$14,2,FALSE),0)+IFERROR(VLOOKUP(N111,'口径与下拉'!$D$9:$E$14,2,FALSE),0)+O111)</x:f>
      </x:c>
      <x:c r="Q111" s="29" t="str"/>
      <x:c r="R111" s="29" t="str">
        <x:f>IF(P111="","",IF(P111&gt;=13,"P0",IF(P111&gt;=10,"P1",IF(P111&gt;=7,"P2","P3"))))</x:f>
      </x:c>
      <x:c r="S111" s="21" t="str"/>
      <x:c r="T111" s="21" t="str"/>
      <x:c r="U111" s="21" t="str"/>
      <x:c r="V111" s="31" t="str"/>
      <x:c r="W111" s="21" t="str"/>
      <x:c r="X111" s="21" t="str">
        <x:v>未复测</x:v>
      </x:c>
      <x:c r="Y111" s="21" t="str"/>
    </x:row>
    <x:row r="112" ht="52" customHeight="1">
      <x:c r="A112" s="27" t="str">
        <x:v>UX-108</x:v>
      </x:c>
      <x:c r="B112" s="23" t="str">
        <x:v>09 灵阵合并棋盘</x:v>
      </x:c>
      <x:c r="C112" s="23" t="str">
        <x:v>7×7 核心玩法</x:v>
      </x:c>
      <x:c r="D112" s="23" t="str">
        <x:v>灵阵合并页</x:v>
      </x:c>
      <x:c r="E112" s="21" t="str">
        <x:v>高产有限生成器有清晰剩余次数</x:v>
      </x:c>
      <x:c r="F112" s="21" t="str">
        <x:v>次数、增益、耗尽提示可见；耗尽后仍有永久来源兜底</x:v>
      </x:c>
      <x:c r="G112" s="21" t="str">
        <x:v>用尽生成器并继续完成订单</x:v>
      </x:c>
      <x:c r="H112" s="21" t="str">
        <x:v>公平/防软锁</x:v>
      </x:c>
      <x:c r="I112" s="21" t="str">
        <x:v>全流程</x:v>
      </x:c>
      <x:c r="J112" s="21" t="str">
        <x:v>全平台</x:v>
      </x:c>
      <x:c r="K112" s="21" t="str"/>
      <x:c r="L112" s="29" t="str">
        <x:v>未检查</x:v>
      </x:c>
      <x:c r="M112" s="29" t="str">
        <x:v>未确认</x:v>
      </x:c>
      <x:c r="N112" s="29" t="str">
        <x:v>未确认</x:v>
      </x:c>
      <x:c r="O112" s="29" t="str"/>
      <x:c r="P112" s="29" t="str">
        <x:f>IF(OR(L112="未检查",L112="通过",L112="不适用"),"",IFERROR(VLOOKUP(M112,'口径与下拉'!$A$9:$B$14,2,FALSE),0)+IFERROR(VLOOKUP(N112,'口径与下拉'!$D$9:$E$14,2,FALSE),0)+O112)</x:f>
      </x:c>
      <x:c r="Q112" s="29" t="str"/>
      <x:c r="R112" s="29" t="str">
        <x:f>IF(P112="","",IF(P112&gt;=13,"P0",IF(P112&gt;=10,"P1",IF(P112&gt;=7,"P2","P3"))))</x:f>
      </x:c>
      <x:c r="S112" s="21" t="str"/>
      <x:c r="T112" s="21" t="str"/>
      <x:c r="U112" s="21" t="str"/>
      <x:c r="V112" s="31" t="str"/>
      <x:c r="W112" s="21" t="str"/>
      <x:c r="X112" s="21" t="str">
        <x:v>未复测</x:v>
      </x:c>
      <x:c r="Y112" s="21" t="str"/>
    </x:row>
    <x:row r="113" ht="52" customHeight="1">
      <x:c r="A113" s="27" t="str">
        <x:v>UX-109</x:v>
      </x:c>
      <x:c r="B113" s="23" t="str">
        <x:v>09 灵阵合并棋盘</x:v>
      </x:c>
      <x:c r="C113" s="23" t="str">
        <x:v>7×7 核心玩法</x:v>
      </x:c>
      <x:c r="D113" s="23" t="str">
        <x:v>灵阵合并页</x:v>
      </x:c>
      <x:c r="E113" s="21" t="str">
        <x:v>同族同阶合并规则准确</x:v>
      </x:c>
      <x:c r="F113" s="21" t="str">
        <x:v>合法合并升一阶；跨族/跨阶/封顶物品不误合并</x:v>
      </x:c>
      <x:c r="G113" s="21" t="str">
        <x:v>矩阵化组合测试</x:v>
      </x:c>
      <x:c r="H113" s="21" t="str">
        <x:v>核心玩法/数据</x:v>
      </x:c>
      <x:c r="I113" s="21" t="str">
        <x:v>全流程</x:v>
      </x:c>
      <x:c r="J113" s="21" t="str">
        <x:v>全平台</x:v>
      </x:c>
      <x:c r="K113" s="21" t="str"/>
      <x:c r="L113" s="29" t="str">
        <x:v>未检查</x:v>
      </x:c>
      <x:c r="M113" s="29" t="str">
        <x:v>未确认</x:v>
      </x:c>
      <x:c r="N113" s="29" t="str">
        <x:v>未确认</x:v>
      </x:c>
      <x:c r="O113" s="29" t="str"/>
      <x:c r="P113" s="29" t="str">
        <x:f>IF(OR(L113="未检查",L113="通过",L113="不适用"),"",IFERROR(VLOOKUP(M113,'口径与下拉'!$A$9:$B$14,2,FALSE),0)+IFERROR(VLOOKUP(N113,'口径与下拉'!$D$9:$E$14,2,FALSE),0)+O113)</x:f>
      </x:c>
      <x:c r="Q113" s="29" t="str"/>
      <x:c r="R113" s="29" t="str">
        <x:f>IF(P113="","",IF(P113&gt;=13,"P0",IF(P113&gt;=10,"P1",IF(P113&gt;=7,"P2","P3"))))</x:f>
      </x:c>
      <x:c r="S113" s="21" t="str"/>
      <x:c r="T113" s="21" t="str"/>
      <x:c r="U113" s="21" t="str"/>
      <x:c r="V113" s="31" t="str"/>
      <x:c r="W113" s="21" t="str"/>
      <x:c r="X113" s="21" t="str">
        <x:v>未复测</x:v>
      </x:c>
      <x:c r="Y113" s="21" t="str"/>
    </x:row>
    <x:row r="114" ht="52" customHeight="1">
      <x:c r="A114" s="27" t="str">
        <x:v>UX-110</x:v>
      </x:c>
      <x:c r="B114" s="23" t="str">
        <x:v>09 灵阵合并棋盘</x:v>
      </x:c>
      <x:c r="C114" s="23" t="str">
        <x:v>7×7 核心玩法</x:v>
      </x:c>
      <x:c r="D114" s="23" t="str">
        <x:v>灵阵合并页</x:v>
      </x:c>
      <x:c r="E114" s="21" t="str">
        <x:v>合并结果位置与反馈可预测</x:v>
      </x:c>
      <x:c r="F114" s="21" t="str">
        <x:v>结果落在目标格或明确规则位置，来源格腾空，动画不遮结果</x:v>
      </x:c>
      <x:c r="G114" s="21" t="str">
        <x:v>慢拖/快拖录屏</x:v>
      </x:c>
      <x:c r="H114" s="21" t="str">
        <x:v>手感/理解</x:v>
      </x:c>
      <x:c r="I114" s="21" t="str">
        <x:v>全流程</x:v>
      </x:c>
      <x:c r="J114" s="21" t="str">
        <x:v>全平台</x:v>
      </x:c>
      <x:c r="K114" s="21" t="str"/>
      <x:c r="L114" s="29" t="str">
        <x:v>未检查</x:v>
      </x:c>
      <x:c r="M114" s="29" t="str">
        <x:v>未确认</x:v>
      </x:c>
      <x:c r="N114" s="29" t="str">
        <x:v>未确认</x:v>
      </x:c>
      <x:c r="O114" s="29" t="str"/>
      <x:c r="P114" s="29" t="str">
        <x:f>IF(OR(L114="未检查",L114="通过",L114="不适用"),"",IFERROR(VLOOKUP(M114,'口径与下拉'!$A$9:$B$14,2,FALSE),0)+IFERROR(VLOOKUP(N114,'口径与下拉'!$D$9:$E$14,2,FALSE),0)+O114)</x:f>
      </x:c>
      <x:c r="Q114" s="29" t="str"/>
      <x:c r="R114" s="29" t="str">
        <x:f>IF(P114="","",IF(P114&gt;=13,"P0",IF(P114&gt;=10,"P1",IF(P114&gt;=7,"P2","P3"))))</x:f>
      </x:c>
      <x:c r="S114" s="21" t="str"/>
      <x:c r="T114" s="21" t="str"/>
      <x:c r="U114" s="21" t="str"/>
      <x:c r="V114" s="31" t="str"/>
      <x:c r="W114" s="21" t="str"/>
      <x:c r="X114" s="21" t="str">
        <x:v>未复测</x:v>
      </x:c>
      <x:c r="Y114" s="21" t="str"/>
    </x:row>
    <x:row r="115" ht="52" customHeight="1">
      <x:c r="A115" s="27" t="str">
        <x:v>UX-111</x:v>
      </x:c>
      <x:c r="B115" s="23" t="str">
        <x:v>09 灵阵合并棋盘</x:v>
      </x:c>
      <x:c r="C115" s="23" t="str">
        <x:v>7×7 核心玩法</x:v>
      </x:c>
      <x:c r="D115" s="23" t="str">
        <x:v>灵阵合并页</x:v>
      </x:c>
      <x:c r="E115" s="21" t="str">
        <x:v>家族阶位上限正确</x:v>
      </x:c>
      <x:c r="F115" s="21" t="str">
        <x:v>药材/药具/膳食/建材≤10；梳妆/陪玩/符箓/至宝≤8</x:v>
      </x:c>
      <x:c r="G115" s="21" t="str">
        <x:v>配置与极限合并测试</x:v>
      </x:c>
      <x:c r="H115" s="21" t="str">
        <x:v>数值/数据</x:v>
      </x:c>
      <x:c r="I115" s="21" t="str">
        <x:v>全流程</x:v>
      </x:c>
      <x:c r="J115" s="21" t="str">
        <x:v>全平台</x:v>
      </x:c>
      <x:c r="K115" s="21" t="str"/>
      <x:c r="L115" s="29" t="str">
        <x:v>未检查</x:v>
      </x:c>
      <x:c r="M115" s="29" t="str">
        <x:v>未确认</x:v>
      </x:c>
      <x:c r="N115" s="29" t="str">
        <x:v>未确认</x:v>
      </x:c>
      <x:c r="O115" s="29" t="str"/>
      <x:c r="P115" s="29" t="str">
        <x:f>IF(OR(L115="未检查",L115="通过",L115="不适用"),"",IFERROR(VLOOKUP(M115,'口径与下拉'!$A$9:$B$14,2,FALSE),0)+IFERROR(VLOOKUP(N115,'口径与下拉'!$D$9:$E$14,2,FALSE),0)+O115)</x:f>
      </x:c>
      <x:c r="Q115" s="29" t="str"/>
      <x:c r="R115" s="29" t="str">
        <x:f>IF(P115="","",IF(P115&gt;=13,"P0",IF(P115&gt;=10,"P1",IF(P115&gt;=7,"P2","P3"))))</x:f>
      </x:c>
      <x:c r="S115" s="21" t="str"/>
      <x:c r="T115" s="21" t="str"/>
      <x:c r="U115" s="21" t="str"/>
      <x:c r="V115" s="31" t="str"/>
      <x:c r="W115" s="21" t="str"/>
      <x:c r="X115" s="21" t="str">
        <x:v>未复测</x:v>
      </x:c>
      <x:c r="Y115" s="21" t="str"/>
    </x:row>
    <x:row r="116" ht="52" customHeight="1">
      <x:c r="A116" s="27" t="str">
        <x:v>UX-112</x:v>
      </x:c>
      <x:c r="B116" s="23" t="str">
        <x:v>09 灵阵合并棋盘</x:v>
      </x:c>
      <x:c r="C116" s="23" t="str">
        <x:v>7×7 核心玩法</x:v>
      </x:c>
      <x:c r="D116" s="23" t="str">
        <x:v>灵阵合并页</x:v>
      </x:c>
      <x:c r="E116" s="21" t="str">
        <x:v>封顶物品用途明确</x:v>
      </x:c>
      <x:c r="F116" s="21" t="str">
        <x:v>不可再合并时显示用途、订单/修缮去向，不像故障</x:v>
      </x:c>
      <x:c r="G116" s="21" t="str">
        <x:v>点击各家族封顶物品</x:v>
      </x:c>
      <x:c r="H116" s="21" t="str">
        <x:v>理解/防挫</x:v>
      </x:c>
      <x:c r="I116" s="21" t="str">
        <x:v>全流程</x:v>
      </x:c>
      <x:c r="J116" s="21" t="str">
        <x:v>全平台</x:v>
      </x:c>
      <x:c r="K116" s="21" t="str"/>
      <x:c r="L116" s="29" t="str">
        <x:v>未检查</x:v>
      </x:c>
      <x:c r="M116" s="29" t="str">
        <x:v>未确认</x:v>
      </x:c>
      <x:c r="N116" s="29" t="str">
        <x:v>未确认</x:v>
      </x:c>
      <x:c r="O116" s="29" t="str"/>
      <x:c r="P116" s="29" t="str">
        <x:f>IF(OR(L116="未检查",L116="通过",L116="不适用"),"",IFERROR(VLOOKUP(M116,'口径与下拉'!$A$9:$B$14,2,FALSE),0)+IFERROR(VLOOKUP(N116,'口径与下拉'!$D$9:$E$14,2,FALSE),0)+O116)</x:f>
      </x:c>
      <x:c r="Q116" s="29" t="str"/>
      <x:c r="R116" s="29" t="str">
        <x:f>IF(P116="","",IF(P116&gt;=13,"P0",IF(P116&gt;=10,"P1",IF(P116&gt;=7,"P2","P3"))))</x:f>
      </x:c>
      <x:c r="S116" s="21" t="str"/>
      <x:c r="T116" s="21" t="str"/>
      <x:c r="U116" s="21" t="str"/>
      <x:c r="V116" s="31" t="str"/>
      <x:c r="W116" s="21" t="str"/>
      <x:c r="X116" s="21" t="str">
        <x:v>未复测</x:v>
      </x:c>
      <x:c r="Y116" s="21" t="str"/>
    </x:row>
    <x:row r="117" ht="52" customHeight="1">
      <x:c r="A117" s="27" t="str">
        <x:v>UX-113</x:v>
      </x:c>
      <x:c r="B117" s="23" t="str">
        <x:v>09 灵阵合并棋盘</x:v>
      </x:c>
      <x:c r="C117" s="23" t="str">
        <x:v>7×7 核心玩法</x:v>
      </x:c>
      <x:c r="D117" s="23" t="str">
        <x:v>灵阵合并页</x:v>
      </x:c>
      <x:c r="E117" s="21" t="str">
        <x:v>藤蔓与净化刷初始唯一且规则明确</x:v>
      </x:c>
      <x:c r="F117" s="21" t="str">
        <x:v>新档仅一处藤蔓和一把刷；使用对象正确、不误消耗</x:v>
      </x:c>
      <x:c r="G117" s="21" t="str">
        <x:v>新档与迁移档检查</x:v>
      </x:c>
      <x:c r="H117" s="21" t="str">
        <x:v>学习/数据</x:v>
      </x:c>
      <x:c r="I117" s="21" t="str">
        <x:v>全流程</x:v>
      </x:c>
      <x:c r="J117" s="21" t="str">
        <x:v>全平台</x:v>
      </x:c>
      <x:c r="K117" s="21" t="str"/>
      <x:c r="L117" s="29" t="str">
        <x:v>未检查</x:v>
      </x:c>
      <x:c r="M117" s="29" t="str">
        <x:v>未确认</x:v>
      </x:c>
      <x:c r="N117" s="29" t="str">
        <x:v>未确认</x:v>
      </x:c>
      <x:c r="O117" s="29" t="str"/>
      <x:c r="P117" s="29" t="str">
        <x:f>IF(OR(L117="未检查",L117="通过",L117="不适用"),"",IFERROR(VLOOKUP(M117,'口径与下拉'!$A$9:$B$14,2,FALSE),0)+IFERROR(VLOOKUP(N117,'口径与下拉'!$D$9:$E$14,2,FALSE),0)+O117)</x:f>
      </x:c>
      <x:c r="Q117" s="29" t="str"/>
      <x:c r="R117" s="29" t="str">
        <x:f>IF(P117="","",IF(P117&gt;=13,"P0",IF(P117&gt;=10,"P1",IF(P117&gt;=7,"P2","P3"))))</x:f>
      </x:c>
      <x:c r="S117" s="21" t="str"/>
      <x:c r="T117" s="21" t="str"/>
      <x:c r="U117" s="21" t="str"/>
      <x:c r="V117" s="31" t="str"/>
      <x:c r="W117" s="21" t="str"/>
      <x:c r="X117" s="21" t="str">
        <x:v>未复测</x:v>
      </x:c>
      <x:c r="Y117" s="21" t="str"/>
    </x:row>
    <x:row r="118" ht="52" customHeight="1">
      <x:c r="A118" s="27" t="str">
        <x:v>UX-114</x:v>
      </x:c>
      <x:c r="B118" s="23" t="str">
        <x:v>09 灵阵合并棋盘</x:v>
      </x:c>
      <x:c r="C118" s="23" t="str">
        <x:v>7×7 核心玩法</x:v>
      </x:c>
      <x:c r="D118" s="23" t="str">
        <x:v>灵阵合并页</x:v>
      </x:c>
      <x:c r="E118" s="21" t="str">
        <x:v>封印格消耗暖玉明确</x:v>
      </x:c>
      <x:c r="F118" s="21" t="str">
        <x:v>价格在确认前可见；不足不扣；成功只扣一次</x:v>
      </x:c>
      <x:c r="G118" s="21" t="str">
        <x:v>不足/刚好/连点测试</x:v>
      </x:c>
      <x:c r="H118" s="21" t="str">
        <x:v>经济/信任</x:v>
      </x:c>
      <x:c r="I118" s="21" t="str">
        <x:v>全流程</x:v>
      </x:c>
      <x:c r="J118" s="21" t="str">
        <x:v>全平台</x:v>
      </x:c>
      <x:c r="K118" s="21" t="str"/>
      <x:c r="L118" s="29" t="str">
        <x:v>未检查</x:v>
      </x:c>
      <x:c r="M118" s="29" t="str">
        <x:v>未确认</x:v>
      </x:c>
      <x:c r="N118" s="29" t="str">
        <x:v>未确认</x:v>
      </x:c>
      <x:c r="O118" s="29" t="str"/>
      <x:c r="P118" s="29" t="str">
        <x:f>IF(OR(L118="未检查",L118="通过",L118="不适用"),"",IFERROR(VLOOKUP(M118,'口径与下拉'!$A$9:$B$14,2,FALSE),0)+IFERROR(VLOOKUP(N118,'口径与下拉'!$D$9:$E$14,2,FALSE),0)+O118)</x:f>
      </x:c>
      <x:c r="Q118" s="29" t="str"/>
      <x:c r="R118" s="29" t="str">
        <x:f>IF(P118="","",IF(P118&gt;=13,"P0",IF(P118&gt;=10,"P1",IF(P118&gt;=7,"P2","P3"))))</x:f>
      </x:c>
      <x:c r="S118" s="21" t="str"/>
      <x:c r="T118" s="21" t="str"/>
      <x:c r="U118" s="21" t="str"/>
      <x:c r="V118" s="31" t="str"/>
      <x:c r="W118" s="21" t="str"/>
      <x:c r="X118" s="21" t="str">
        <x:v>未复测</x:v>
      </x:c>
      <x:c r="Y118" s="21" t="str"/>
    </x:row>
    <x:row r="119" ht="52" customHeight="1">
      <x:c r="A119" s="27" t="str">
        <x:v>UX-115</x:v>
      </x:c>
      <x:c r="B119" s="23" t="str">
        <x:v>09 灵阵合并棋盘</x:v>
      </x:c>
      <x:c r="C119" s="23" t="str">
        <x:v>7×7 核心玩法</x:v>
      </x:c>
      <x:c r="D119" s="23" t="str">
        <x:v>灵阵合并页</x:v>
      </x:c>
      <x:c r="E119" s="21" t="str">
        <x:v>满盘状态可恢复</x:v>
      </x:c>
      <x:c r="F119" s="21" t="str">
        <x:v>出现灵阵满格提示并提供整理、回收、药匣等真实路径</x:v>
      </x:c>
      <x:c r="G119" s="21" t="str">
        <x:v>主动填满 49 格</x:v>
      </x:c>
      <x:c r="H119" s="21" t="str">
        <x:v>防软锁/导航</x:v>
      </x:c>
      <x:c r="I119" s="21" t="str">
        <x:v>全流程</x:v>
      </x:c>
      <x:c r="J119" s="21" t="str">
        <x:v>全平台</x:v>
      </x:c>
      <x:c r="K119" s="21" t="str"/>
      <x:c r="L119" s="29" t="str">
        <x:v>未检查</x:v>
      </x:c>
      <x:c r="M119" s="29" t="str">
        <x:v>未确认</x:v>
      </x:c>
      <x:c r="N119" s="29" t="str">
        <x:v>未确认</x:v>
      </x:c>
      <x:c r="O119" s="29" t="str"/>
      <x:c r="P119" s="29" t="str">
        <x:f>IF(OR(L119="未检查",L119="通过",L119="不适用"),"",IFERROR(VLOOKUP(M119,'口径与下拉'!$A$9:$B$14,2,FALSE),0)+IFERROR(VLOOKUP(N119,'口径与下拉'!$D$9:$E$14,2,FALSE),0)+O119)</x:f>
      </x:c>
      <x:c r="Q119" s="29" t="str"/>
      <x:c r="R119" s="29" t="str">
        <x:f>IF(P119="","",IF(P119&gt;=13,"P0",IF(P119&gt;=10,"P1",IF(P119&gt;=7,"P2","P3"))))</x:f>
      </x:c>
      <x:c r="S119" s="21" t="str"/>
      <x:c r="T119" s="21" t="str"/>
      <x:c r="U119" s="21" t="str"/>
      <x:c r="V119" s="31" t="str"/>
      <x:c r="W119" s="21" t="str"/>
      <x:c r="X119" s="21" t="str">
        <x:v>未复测</x:v>
      </x:c>
      <x:c r="Y119" s="21" t="str"/>
    </x:row>
    <x:row r="120" ht="52" customHeight="1">
      <x:c r="A120" s="27" t="str">
        <x:v>UX-116</x:v>
      </x:c>
      <x:c r="B120" s="23" t="str">
        <x:v>09 灵阵合并棋盘</x:v>
      </x:c>
      <x:c r="C120" s="23" t="str">
        <x:v>7×7 核心玩法</x:v>
      </x:c>
      <x:c r="D120" s="23" t="str">
        <x:v>灵阵合并页</x:v>
      </x:c>
      <x:c r="E120" s="21" t="str">
        <x:v>整理功能不改变物品多重集</x:v>
      </x:c>
      <x:c r="F120" s="21" t="str">
        <x:v>只重排位置，不丢失、复制、升降阶或误入锁格</x:v>
      </x:c>
      <x:c r="G120" s="21" t="str">
        <x:v>操作前后清单哈希核对</x:v>
      </x:c>
      <x:c r="H120" s="21" t="str">
        <x:v>数据/信任</x:v>
      </x:c>
      <x:c r="I120" s="21" t="str">
        <x:v>全流程</x:v>
      </x:c>
      <x:c r="J120" s="21" t="str">
        <x:v>全平台</x:v>
      </x:c>
      <x:c r="K120" s="21" t="str"/>
      <x:c r="L120" s="29" t="str">
        <x:v>未检查</x:v>
      </x:c>
      <x:c r="M120" s="29" t="str">
        <x:v>未确认</x:v>
      </x:c>
      <x:c r="N120" s="29" t="str">
        <x:v>未确认</x:v>
      </x:c>
      <x:c r="O120" s="29" t="str"/>
      <x:c r="P120" s="29" t="str">
        <x:f>IF(OR(L120="未检查",L120="通过",L120="不适用"),"",IFERROR(VLOOKUP(M120,'口径与下拉'!$A$9:$B$14,2,FALSE),0)+IFERROR(VLOOKUP(N120,'口径与下拉'!$D$9:$E$14,2,FALSE),0)+O120)</x:f>
      </x:c>
      <x:c r="Q120" s="29" t="str"/>
      <x:c r="R120" s="29" t="str">
        <x:f>IF(P120="","",IF(P120&gt;=13,"P0",IF(P120&gt;=10,"P1",IF(P120&gt;=7,"P2","P3"))))</x:f>
      </x:c>
      <x:c r="S120" s="21" t="str"/>
      <x:c r="T120" s="21" t="str"/>
      <x:c r="U120" s="21" t="str"/>
      <x:c r="V120" s="31" t="str"/>
      <x:c r="W120" s="21" t="str"/>
      <x:c r="X120" s="21" t="str">
        <x:v>未复测</x:v>
      </x:c>
      <x:c r="Y120" s="21" t="str"/>
    </x:row>
    <x:row r="121" ht="52" customHeight="1">
      <x:c r="A121" s="27" t="str">
        <x:v>UX-117</x:v>
      </x:c>
      <x:c r="B121" s="23" t="str">
        <x:v>09 灵阵合并棋盘</x:v>
      </x:c>
      <x:c r="C121" s="23" t="str">
        <x:v>7×7 核心玩法</x:v>
      </x:c>
      <x:c r="D121" s="23" t="str">
        <x:v>灵阵合并页</x:v>
      </x:c>
      <x:c r="E121" s="21" t="str">
        <x:v>回收有对象与收益确认</x:v>
      </x:c>
      <x:c r="F121" s="21" t="str">
        <x:v>明确将回收的物品、收益和不可逆性；取消不改变状态</x:v>
      </x:c>
      <x:c r="G121" s="21" t="str">
        <x:v>各阶物品回收测试</x:v>
      </x:c>
      <x:c r="H121" s="21" t="str">
        <x:v>数据/信任</x:v>
      </x:c>
      <x:c r="I121" s="21" t="str">
        <x:v>全流程</x:v>
      </x:c>
      <x:c r="J121" s="21" t="str">
        <x:v>全平台</x:v>
      </x:c>
      <x:c r="K121" s="21" t="str"/>
      <x:c r="L121" s="29" t="str">
        <x:v>未检查</x:v>
      </x:c>
      <x:c r="M121" s="29" t="str">
        <x:v>未确认</x:v>
      </x:c>
      <x:c r="N121" s="29" t="str">
        <x:v>未确认</x:v>
      </x:c>
      <x:c r="O121" s="29" t="str"/>
      <x:c r="P121" s="29" t="str">
        <x:f>IF(OR(L121="未检查",L121="通过",L121="不适用"),"",IFERROR(VLOOKUP(M121,'口径与下拉'!$A$9:$B$14,2,FALSE),0)+IFERROR(VLOOKUP(N121,'口径与下拉'!$D$9:$E$14,2,FALSE),0)+O121)</x:f>
      </x:c>
      <x:c r="Q121" s="29" t="str"/>
      <x:c r="R121" s="29" t="str">
        <x:f>IF(P121="","",IF(P121&gt;=13,"P0",IF(P121&gt;=10,"P1",IF(P121&gt;=7,"P2","P3"))))</x:f>
      </x:c>
      <x:c r="S121" s="21" t="str"/>
      <x:c r="T121" s="21" t="str"/>
      <x:c r="U121" s="21" t="str"/>
      <x:c r="V121" s="31" t="str"/>
      <x:c r="W121" s="21" t="str"/>
      <x:c r="X121" s="21" t="str">
        <x:v>未复测</x:v>
      </x:c>
      <x:c r="Y121" s="21" t="str"/>
    </x:row>
    <x:row r="122" ht="52" customHeight="1">
      <x:c r="A122" s="27" t="str">
        <x:v>UX-118</x:v>
      </x:c>
      <x:c r="B122" s="23" t="str">
        <x:v>09 灵阵合并棋盘</x:v>
      </x:c>
      <x:c r="C122" s="23" t="str">
        <x:v>7×7 核心玩法</x:v>
      </x:c>
      <x:c r="D122" s="23" t="str">
        <x:v>灵阵合并页</x:v>
      </x:c>
      <x:c r="E122" s="21" t="str">
        <x:v>药匣与棋盘搬运守恒</x:v>
      </x:c>
      <x:c r="F122" s="21" t="str">
        <x:v>移入移出不复制、不丢失；满位与锁定有清晰处理</x:v>
      </x:c>
      <x:c r="G122" s="21" t="str">
        <x:v>满棋盘/满药匣往返</x:v>
      </x:c>
      <x:c r="H122" s="21" t="str">
        <x:v>数据/防软锁</x:v>
      </x:c>
      <x:c r="I122" s="21" t="str">
        <x:v>全流程</x:v>
      </x:c>
      <x:c r="J122" s="21" t="str">
        <x:v>全平台</x:v>
      </x:c>
      <x:c r="K122" s="21" t="str"/>
      <x:c r="L122" s="29" t="str">
        <x:v>未检查</x:v>
      </x:c>
      <x:c r="M122" s="29" t="str">
        <x:v>未确认</x:v>
      </x:c>
      <x:c r="N122" s="29" t="str">
        <x:v>未确认</x:v>
      </x:c>
      <x:c r="O122" s="29" t="str"/>
      <x:c r="P122" s="29" t="str">
        <x:f>IF(OR(L122="未检查",L122="通过",L122="不适用"),"",IFERROR(VLOOKUP(M122,'口径与下拉'!$A$9:$B$14,2,FALSE),0)+IFERROR(VLOOKUP(N122,'口径与下拉'!$D$9:$E$14,2,FALSE),0)+O122)</x:f>
      </x:c>
      <x:c r="Q122" s="29" t="str"/>
      <x:c r="R122" s="29" t="str">
        <x:f>IF(P122="","",IF(P122&gt;=13,"P0",IF(P122&gt;=10,"P1",IF(P122&gt;=7,"P2","P3"))))</x:f>
      </x:c>
      <x:c r="S122" s="21" t="str"/>
      <x:c r="T122" s="21" t="str"/>
      <x:c r="U122" s="21" t="str"/>
      <x:c r="V122" s="31" t="str"/>
      <x:c r="W122" s="21" t="str"/>
      <x:c r="X122" s="21" t="str">
        <x:v>未复测</x:v>
      </x:c>
      <x:c r="Y122" s="21" t="str"/>
    </x:row>
    <x:row r="123" ht="52" customHeight="1">
      <x:c r="A123" s="27" t="str">
        <x:v>UX-119</x:v>
      </x:c>
      <x:c r="B123" s="23" t="str">
        <x:v>09 灵阵合并棋盘</x:v>
      </x:c>
      <x:c r="C123" s="23" t="str">
        <x:v>7×7 核心玩法</x:v>
      </x:c>
      <x:c r="D123" s="23" t="str">
        <x:v>灵阵合并页</x:v>
      </x:c>
      <x:c r="E123" s="21" t="str">
        <x:v>拖拽中保存/旋转/失焦安全</x:v>
      </x:c>
      <x:c r="F123" s="21" t="str">
        <x:v>中断后物品回到确定位置，不出现幽灵、复制或空缺</x:v>
      </x:c>
      <x:c r="G123" s="21" t="str">
        <x:v>拖拽时刷新/切后台/旋转</x:v>
      </x:c>
      <x:c r="H123" s="21" t="str">
        <x:v>稳定性/数据</x:v>
      </x:c>
      <x:c r="I123" s="21" t="str">
        <x:v>全流程</x:v>
      </x:c>
      <x:c r="J123" s="21" t="str">
        <x:v>全平台</x:v>
      </x:c>
      <x:c r="K123" s="21" t="str"/>
      <x:c r="L123" s="29" t="str">
        <x:v>未检查</x:v>
      </x:c>
      <x:c r="M123" s="29" t="str">
        <x:v>未确认</x:v>
      </x:c>
      <x:c r="N123" s="29" t="str">
        <x:v>未确认</x:v>
      </x:c>
      <x:c r="O123" s="29" t="str"/>
      <x:c r="P123" s="29" t="str">
        <x:f>IF(OR(L123="未检查",L123="通过",L123="不适用"),"",IFERROR(VLOOKUP(M123,'口径与下拉'!$A$9:$B$14,2,FALSE),0)+IFERROR(VLOOKUP(N123,'口径与下拉'!$D$9:$E$14,2,FALSE),0)+O123)</x:f>
      </x:c>
      <x:c r="Q123" s="29" t="str"/>
      <x:c r="R123" s="29" t="str">
        <x:f>IF(P123="","",IF(P123&gt;=13,"P0",IF(P123&gt;=10,"P1",IF(P123&gt;=7,"P2","P3"))))</x:f>
      </x:c>
      <x:c r="S123" s="21" t="str"/>
      <x:c r="T123" s="21" t="str"/>
      <x:c r="U123" s="21" t="str"/>
      <x:c r="V123" s="31" t="str"/>
      <x:c r="W123" s="21" t="str"/>
      <x:c r="X123" s="21" t="str">
        <x:v>未复测</x:v>
      </x:c>
      <x:c r="Y123" s="21" t="str"/>
    </x:row>
    <x:row r="124" ht="52" customHeight="1">
      <x:c r="A124" s="27" t="str">
        <x:v>UX-120</x:v>
      </x:c>
      <x:c r="B124" s="23" t="str">
        <x:v>09 灵阵合并棋盘</x:v>
      </x:c>
      <x:c r="C124" s="23" t="str">
        <x:v>7×7 核心玩法</x:v>
      </x:c>
      <x:c r="D124" s="23" t="str">
        <x:v>灵阵合并页</x:v>
      </x:c>
      <x:c r="E124" s="21" t="str">
        <x:v>密集棋盘仍保持帧率与命中</x:v>
      </x:c>
      <x:c r="F124" s="21" t="str">
        <x:v>49 格满载和连续合并时反馈及时，无明显掉帧或错格</x:v>
      </x:c>
      <x:c r="G124" s="21" t="str">
        <x:v>低端机压力测试</x:v>
      </x:c>
      <x:c r="H124" s="21" t="str">
        <x:v>性能/手感</x:v>
      </x:c>
      <x:c r="I124" s="21" t="str">
        <x:v>全流程</x:v>
      </x:c>
      <x:c r="J124" s="21" t="str">
        <x:v>全平台</x:v>
      </x:c>
      <x:c r="K124" s="21" t="str"/>
      <x:c r="L124" s="29" t="str">
        <x:v>未检查</x:v>
      </x:c>
      <x:c r="M124" s="29" t="str">
        <x:v>未确认</x:v>
      </x:c>
      <x:c r="N124" s="29" t="str">
        <x:v>未确认</x:v>
      </x:c>
      <x:c r="O124" s="29" t="str"/>
      <x:c r="P124" s="29" t="str">
        <x:f>IF(OR(L124="未检查",L124="通过",L124="不适用"),"",IFERROR(VLOOKUP(M124,'口径与下拉'!$A$9:$B$14,2,FALSE),0)+IFERROR(VLOOKUP(N124,'口径与下拉'!$D$9:$E$14,2,FALSE),0)+O124)</x:f>
      </x:c>
      <x:c r="Q124" s="29" t="str"/>
      <x:c r="R124" s="29" t="str">
        <x:f>IF(P124="","",IF(P124&gt;=13,"P0",IF(P124&gt;=10,"P1",IF(P124&gt;=7,"P2","P3"))))</x:f>
      </x:c>
      <x:c r="S124" s="21" t="str"/>
      <x:c r="T124" s="21" t="str"/>
      <x:c r="U124" s="21" t="str"/>
      <x:c r="V124" s="31" t="str"/>
      <x:c r="W124" s="21" t="str"/>
      <x:c r="X124" s="21" t="str">
        <x:v>未复测</x:v>
      </x:c>
      <x:c r="Y124" s="21" t="str"/>
    </x:row>
    <x:row r="125" ht="52" customHeight="1">
      <x:c r="A125" s="27" t="str">
        <x:v>UX-121</x:v>
      </x:c>
      <x:c r="B125" s="23" t="str">
        <x:v>10 物品、生成器、药匣与配方</x:v>
      </x:c>
      <x:c r="C125" s="23" t="str">
        <x:v>产线与制造</x:v>
      </x:c>
      <x:c r="D125" s="23" t="str">
        <x:v>灵阵/药匣/配方</x:v>
      </x:c>
      <x:c r="E125" s="21" t="str">
        <x:v>物品详情包含名称、阶位、家族、用途</x:v>
      </x:c>
      <x:c r="F125" s="21" t="str">
        <x:v>信息足以决定保留、合并、回收或提交</x:v>
      </x:c>
      <x:c r="G125" s="21" t="str">
        <x:v>抽检各家族低中高阶物品</x:v>
      </x:c>
      <x:c r="H125" s="21" t="str">
        <x:v>理解/操作</x:v>
      </x:c>
      <x:c r="I125" s="21" t="str">
        <x:v>全流程</x:v>
      </x:c>
      <x:c r="J125" s="21" t="str">
        <x:v>全平台</x:v>
      </x:c>
      <x:c r="K125" s="21" t="str"/>
      <x:c r="L125" s="29" t="str">
        <x:v>未检查</x:v>
      </x:c>
      <x:c r="M125" s="29" t="str">
        <x:v>未确认</x:v>
      </x:c>
      <x:c r="N125" s="29" t="str">
        <x:v>未确认</x:v>
      </x:c>
      <x:c r="O125" s="29" t="str"/>
      <x:c r="P125" s="29" t="str">
        <x:f>IF(OR(L125="未检查",L125="通过",L125="不适用"),"",IFERROR(VLOOKUP(M125,'口径与下拉'!$A$9:$B$14,2,FALSE),0)+IFERROR(VLOOKUP(N125,'口径与下拉'!$D$9:$E$14,2,FALSE),0)+O125)</x:f>
      </x:c>
      <x:c r="Q125" s="29" t="str"/>
      <x:c r="R125" s="29" t="str">
        <x:f>IF(P125="","",IF(P125&gt;=13,"P0",IF(P125&gt;=10,"P1",IF(P125&gt;=7,"P2","P3"))))</x:f>
      </x:c>
      <x:c r="S125" s="21" t="str"/>
      <x:c r="T125" s="21" t="str"/>
      <x:c r="U125" s="21" t="str"/>
      <x:c r="V125" s="31" t="str"/>
      <x:c r="W125" s="21" t="str"/>
      <x:c r="X125" s="21" t="str">
        <x:v>未复测</x:v>
      </x:c>
      <x:c r="Y125" s="21" t="str"/>
    </x:row>
    <x:row r="126" ht="52" customHeight="1">
      <x:c r="A126" s="27" t="str">
        <x:v>UX-122</x:v>
      </x:c>
      <x:c r="B126" s="23" t="str">
        <x:v>10 物品、生成器、药匣与配方</x:v>
      </x:c>
      <x:c r="C126" s="23" t="str">
        <x:v>产线与制造</x:v>
      </x:c>
      <x:c r="D126" s="23" t="str">
        <x:v>灵阵/药匣/配方</x:v>
      </x:c>
      <x:c r="E126" s="21" t="str">
        <x:v>物品来源三态准确</x:v>
      </x:c>
      <x:c r="F126" s="21" t="str">
        <x:v>现在可得、满足条件后可得、不可获得与真实状态一致</x:v>
      </x:c>
      <x:c r="G126" s="21" t="str">
        <x:v>每种需求逐态构造</x:v>
      </x:c>
      <x:c r="H126" s="21" t="str">
        <x:v>理解/防软锁</x:v>
      </x:c>
      <x:c r="I126" s="21" t="str">
        <x:v>全流程</x:v>
      </x:c>
      <x:c r="J126" s="21" t="str">
        <x:v>全平台</x:v>
      </x:c>
      <x:c r="K126" s="21" t="str"/>
      <x:c r="L126" s="29" t="str">
        <x:v>未检查</x:v>
      </x:c>
      <x:c r="M126" s="29" t="str">
        <x:v>未确认</x:v>
      </x:c>
      <x:c r="N126" s="29" t="str">
        <x:v>未确认</x:v>
      </x:c>
      <x:c r="O126" s="29" t="str"/>
      <x:c r="P126" s="29" t="str">
        <x:f>IF(OR(L126="未检查",L126="通过",L126="不适用"),"",IFERROR(VLOOKUP(M126,'口径与下拉'!$A$9:$B$14,2,FALSE),0)+IFERROR(VLOOKUP(N126,'口径与下拉'!$D$9:$E$14,2,FALSE),0)+O126)</x:f>
      </x:c>
      <x:c r="Q126" s="29" t="str"/>
      <x:c r="R126" s="29" t="str">
        <x:f>IF(P126="","",IF(P126&gt;=13,"P0",IF(P126&gt;=10,"P1",IF(P126&gt;=7,"P2","P3"))))</x:f>
      </x:c>
      <x:c r="S126" s="21" t="str"/>
      <x:c r="T126" s="21" t="str"/>
      <x:c r="U126" s="21" t="str"/>
      <x:c r="V126" s="31" t="str"/>
      <x:c r="W126" s="21" t="str"/>
      <x:c r="X126" s="21" t="str">
        <x:v>未复测</x:v>
      </x:c>
      <x:c r="Y126" s="21" t="str"/>
    </x:row>
    <x:row r="127" ht="52" customHeight="1">
      <x:c r="A127" s="27" t="str">
        <x:v>UX-123</x:v>
      </x:c>
      <x:c r="B127" s="23" t="str">
        <x:v>10 物品、生成器、药匣与配方</x:v>
      </x:c>
      <x:c r="C127" s="23" t="str">
        <x:v>产线与制造</x:v>
      </x:c>
      <x:c r="D127" s="23" t="str">
        <x:v>灵阵/药匣/配方</x:v>
      </x:c>
      <x:c r="E127" s="21" t="str">
        <x:v>来源入口可直接前往</x:v>
      </x:c>
      <x:c r="F127" s="21" t="str">
        <x:v>跳转到真实产出点，返回后保持原任务上下文</x:v>
      </x:c>
      <x:c r="G127" s="21" t="str">
        <x:v>覆盖所有来源类型</x:v>
      </x:c>
      <x:c r="H127" s="21" t="str">
        <x:v>导航/效率</x:v>
      </x:c>
      <x:c r="I127" s="21" t="str">
        <x:v>全流程</x:v>
      </x:c>
      <x:c r="J127" s="21" t="str">
        <x:v>全平台</x:v>
      </x:c>
      <x:c r="K127" s="21" t="str"/>
      <x:c r="L127" s="29" t="str">
        <x:v>未检查</x:v>
      </x:c>
      <x:c r="M127" s="29" t="str">
        <x:v>未确认</x:v>
      </x:c>
      <x:c r="N127" s="29" t="str">
        <x:v>未确认</x:v>
      </x:c>
      <x:c r="O127" s="29" t="str"/>
      <x:c r="P127" s="29" t="str">
        <x:f>IF(OR(L127="未检查",L127="通过",L127="不适用"),"",IFERROR(VLOOKUP(M127,'口径与下拉'!$A$9:$B$14,2,FALSE),0)+IFERROR(VLOOKUP(N127,'口径与下拉'!$D$9:$E$14,2,FALSE),0)+O127)</x:f>
      </x:c>
      <x:c r="Q127" s="29" t="str"/>
      <x:c r="R127" s="29" t="str">
        <x:f>IF(P127="","",IF(P127&gt;=13,"P0",IF(P127&gt;=10,"P1",IF(P127&gt;=7,"P2","P3"))))</x:f>
      </x:c>
      <x:c r="S127" s="21" t="str"/>
      <x:c r="T127" s="21" t="str"/>
      <x:c r="U127" s="21" t="str"/>
      <x:c r="V127" s="31" t="str"/>
      <x:c r="W127" s="21" t="str"/>
      <x:c r="X127" s="21" t="str">
        <x:v>未复测</x:v>
      </x:c>
      <x:c r="Y127" s="21" t="str"/>
    </x:row>
    <x:row r="128" ht="52" customHeight="1">
      <x:c r="A128" s="27" t="str">
        <x:v>UX-124</x:v>
      </x:c>
      <x:c r="B128" s="23" t="str">
        <x:v>10 物品、生成器、药匣与配方</x:v>
      </x:c>
      <x:c r="C128" s="23" t="str">
        <x:v>产线与制造</x:v>
      </x:c>
      <x:c r="D128" s="23" t="str">
        <x:v>灵阵/药匣/配方</x:v>
      </x:c>
      <x:c r="E128" s="21" t="str">
        <x:v>无真实来源物品不进入订单</x:v>
      </x:c>
      <x:c r="F128" s="21" t="str">
        <x:v>所有订单需求至少有永久或条件可达来源</x:v>
      </x:c>
      <x:c r="G128" s="21" t="str">
        <x:v>批量生成订单并解析来源</x:v>
      </x:c>
      <x:c r="H128" s="21" t="str">
        <x:v>防软锁/公平</x:v>
      </x:c>
      <x:c r="I128" s="21" t="str">
        <x:v>全流程</x:v>
      </x:c>
      <x:c r="J128" s="21" t="str">
        <x:v>全平台</x:v>
      </x:c>
      <x:c r="K128" s="21" t="str"/>
      <x:c r="L128" s="29" t="str">
        <x:v>未检查</x:v>
      </x:c>
      <x:c r="M128" s="29" t="str">
        <x:v>未确认</x:v>
      </x:c>
      <x:c r="N128" s="29" t="str">
        <x:v>未确认</x:v>
      </x:c>
      <x:c r="O128" s="29" t="str"/>
      <x:c r="P128" s="29" t="str">
        <x:f>IF(OR(L128="未检查",L128="通过",L128="不适用"),"",IFERROR(VLOOKUP(M128,'口径与下拉'!$A$9:$B$14,2,FALSE),0)+IFERROR(VLOOKUP(N128,'口径与下拉'!$D$9:$E$14,2,FALSE),0)+O128)</x:f>
      </x:c>
      <x:c r="Q128" s="29" t="str"/>
      <x:c r="R128" s="29" t="str">
        <x:f>IF(P128="","",IF(P128&gt;=13,"P0",IF(P128&gt;=10,"P1",IF(P128&gt;=7,"P2","P3"))))</x:f>
      </x:c>
      <x:c r="S128" s="21" t="str"/>
      <x:c r="T128" s="21" t="str"/>
      <x:c r="U128" s="21" t="str"/>
      <x:c r="V128" s="31" t="str"/>
      <x:c r="W128" s="21" t="str"/>
      <x:c r="X128" s="21" t="str">
        <x:v>未复测</x:v>
      </x:c>
      <x:c r="Y128" s="21" t="str"/>
    </x:row>
    <x:row r="129" ht="52" customHeight="1">
      <x:c r="A129" s="27" t="str">
        <x:v>UX-125</x:v>
      </x:c>
      <x:c r="B129" s="23" t="str">
        <x:v>10 物品、生成器、药匣与配方</x:v>
      </x:c>
      <x:c r="C129" s="23" t="str">
        <x:v>产线与制造</x:v>
      </x:c>
      <x:c r="D129" s="23" t="str">
        <x:v>灵阵/药匣/配方</x:v>
      </x:c>
      <x:c r="E129" s="21" t="str">
        <x:v>药匣容量、排序与锁定清晰</x:v>
      </x:c>
      <x:c r="F129" s="21" t="str">
        <x:v>已用/总容量可见；排序稳定；锁格解释解锁条件</x:v>
      </x:c>
      <x:c r="G129" s="21" t="str">
        <x:v>容量边界测试</x:v>
      </x:c>
      <x:c r="H129" s="21" t="str">
        <x:v>理解/操作</x:v>
      </x:c>
      <x:c r="I129" s="21" t="str">
        <x:v>全流程</x:v>
      </x:c>
      <x:c r="J129" s="21" t="str">
        <x:v>全平台</x:v>
      </x:c>
      <x:c r="K129" s="21" t="str"/>
      <x:c r="L129" s="29" t="str">
        <x:v>未检查</x:v>
      </x:c>
      <x:c r="M129" s="29" t="str">
        <x:v>未确认</x:v>
      </x:c>
      <x:c r="N129" s="29" t="str">
        <x:v>未确认</x:v>
      </x:c>
      <x:c r="O129" s="29" t="str"/>
      <x:c r="P129" s="29" t="str">
        <x:f>IF(OR(L129="未检查",L129="通过",L129="不适用"),"",IFERROR(VLOOKUP(M129,'口径与下拉'!$A$9:$B$14,2,FALSE),0)+IFERROR(VLOOKUP(N129,'口径与下拉'!$D$9:$E$14,2,FALSE),0)+O129)</x:f>
      </x:c>
      <x:c r="Q129" s="29" t="str"/>
      <x:c r="R129" s="29" t="str">
        <x:f>IF(P129="","",IF(P129&gt;=13,"P0",IF(P129&gt;=10,"P1",IF(P129&gt;=7,"P2","P3"))))</x:f>
      </x:c>
      <x:c r="S129" s="21" t="str"/>
      <x:c r="T129" s="21" t="str"/>
      <x:c r="U129" s="21" t="str"/>
      <x:c r="V129" s="31" t="str"/>
      <x:c r="W129" s="21" t="str"/>
      <x:c r="X129" s="21" t="str">
        <x:v>未复测</x:v>
      </x:c>
      <x:c r="Y129" s="21" t="str"/>
    </x:row>
    <x:row r="130" ht="52" customHeight="1">
      <x:c r="A130" s="27" t="str">
        <x:v>UX-126</x:v>
      </x:c>
      <x:c r="B130" s="23" t="str">
        <x:v>10 物品、生成器、药匣与配方</x:v>
      </x:c>
      <x:c r="C130" s="23" t="str">
        <x:v>产线与制造</x:v>
      </x:c>
      <x:c r="D130" s="23" t="str">
        <x:v>灵阵/药匣/配方</x:v>
      </x:c>
      <x:c r="E130" s="21" t="str">
        <x:v>配方解锁时机符合实际需求</x:v>
      </x:c>
      <x:c r="F130" s="21" t="str">
        <x:v>首次需要时提示；不会过早堆信息或过晚卡任务</x:v>
      </x:c>
      <x:c r="G130" s="21" t="str">
        <x:v>新档推进时间线</x:v>
      </x:c>
      <x:c r="H130" s="21" t="str">
        <x:v>理解/操作</x:v>
      </x:c>
      <x:c r="I130" s="21" t="str">
        <x:v>全流程</x:v>
      </x:c>
      <x:c r="J130" s="21" t="str">
        <x:v>全平台</x:v>
      </x:c>
      <x:c r="K130" s="21" t="str"/>
      <x:c r="L130" s="29" t="str">
        <x:v>未检查</x:v>
      </x:c>
      <x:c r="M130" s="29" t="str">
        <x:v>未确认</x:v>
      </x:c>
      <x:c r="N130" s="29" t="str">
        <x:v>未确认</x:v>
      </x:c>
      <x:c r="O130" s="29" t="str"/>
      <x:c r="P130" s="29" t="str">
        <x:f>IF(OR(L130="未检查",L130="通过",L130="不适用"),"",IFERROR(VLOOKUP(M130,'口径与下拉'!$A$9:$B$14,2,FALSE),0)+IFERROR(VLOOKUP(N130,'口径与下拉'!$D$9:$E$14,2,FALSE),0)+O130)</x:f>
      </x:c>
      <x:c r="Q130" s="29" t="str"/>
      <x:c r="R130" s="29" t="str">
        <x:f>IF(P130="","",IF(P130&gt;=13,"P0",IF(P130&gt;=10,"P1",IF(P130&gt;=7,"P2","P3"))))</x:f>
      </x:c>
      <x:c r="S130" s="21" t="str"/>
      <x:c r="T130" s="21" t="str"/>
      <x:c r="U130" s="21" t="str"/>
      <x:c r="V130" s="31" t="str"/>
      <x:c r="W130" s="21" t="str"/>
      <x:c r="X130" s="21" t="str">
        <x:v>未复测</x:v>
      </x:c>
      <x:c r="Y130" s="21" t="str"/>
    </x:row>
    <x:row r="131" ht="52" customHeight="1">
      <x:c r="A131" s="27" t="str">
        <x:v>UX-127</x:v>
      </x:c>
      <x:c r="B131" s="23" t="str">
        <x:v>10 物品、生成器、药匣与配方</x:v>
      </x:c>
      <x:c r="C131" s="23" t="str">
        <x:v>产线与制造</x:v>
      </x:c>
      <x:c r="D131" s="23" t="str">
        <x:v>灵阵/药匣/配方</x:v>
      </x:c>
      <x:c r="E131" s="21" t="str">
        <x:v>配方材料与产物预览完整</x:v>
      </x:c>
      <x:c r="F131" s="21" t="str">
        <x:v>数量、阶位、来源、消耗和产物用途在制作前可知</x:v>
      </x:c>
      <x:c r="G131" s="21" t="str">
        <x:v>逐配方检查</x:v>
      </x:c>
      <x:c r="H131" s="21" t="str">
        <x:v>理解/操作</x:v>
      </x:c>
      <x:c r="I131" s="21" t="str">
        <x:v>全流程</x:v>
      </x:c>
      <x:c r="J131" s="21" t="str">
        <x:v>全平台</x:v>
      </x:c>
      <x:c r="K131" s="21" t="str"/>
      <x:c r="L131" s="29" t="str">
        <x:v>未检查</x:v>
      </x:c>
      <x:c r="M131" s="29" t="str">
        <x:v>未确认</x:v>
      </x:c>
      <x:c r="N131" s="29" t="str">
        <x:v>未确认</x:v>
      </x:c>
      <x:c r="O131" s="29" t="str"/>
      <x:c r="P131" s="29" t="str">
        <x:f>IF(OR(L131="未检查",L131="通过",L131="不适用"),"",IFERROR(VLOOKUP(M131,'口径与下拉'!$A$9:$B$14,2,FALSE),0)+IFERROR(VLOOKUP(N131,'口径与下拉'!$D$9:$E$14,2,FALSE),0)+O131)</x:f>
      </x:c>
      <x:c r="Q131" s="29" t="str"/>
      <x:c r="R131" s="29" t="str">
        <x:f>IF(P131="","",IF(P131&gt;=13,"P0",IF(P131&gt;=10,"P1",IF(P131&gt;=7,"P2","P3"))))</x:f>
      </x:c>
      <x:c r="S131" s="21" t="str"/>
      <x:c r="T131" s="21" t="str"/>
      <x:c r="U131" s="21" t="str"/>
      <x:c r="V131" s="31" t="str"/>
      <x:c r="W131" s="21" t="str"/>
      <x:c r="X131" s="21" t="str">
        <x:v>未复测</x:v>
      </x:c>
      <x:c r="Y131" s="21" t="str"/>
    </x:row>
    <x:row r="132" ht="52" customHeight="1">
      <x:c r="A132" s="27" t="str">
        <x:v>UX-128</x:v>
      </x:c>
      <x:c r="B132" s="23" t="str">
        <x:v>10 物品、生成器、药匣与配方</x:v>
      </x:c>
      <x:c r="C132" s="23" t="str">
        <x:v>产线与制造</x:v>
      </x:c>
      <x:c r="D132" s="23" t="str">
        <x:v>灵阵/药匣/配方</x:v>
      </x:c>
      <x:c r="E132" s="21" t="str">
        <x:v>制作事务原子化</x:v>
      </x:c>
      <x:c r="F132" s="21" t="str">
        <x:v>材料足够才消耗；满盘/失败不吞材料；连点只结算一次</x:v>
      </x:c>
      <x:c r="G132" s="21" t="str">
        <x:v>边界与故障注入</x:v>
      </x:c>
      <x:c r="H132" s="21" t="str">
        <x:v>数据/信任</x:v>
      </x:c>
      <x:c r="I132" s="21" t="str">
        <x:v>全流程</x:v>
      </x:c>
      <x:c r="J132" s="21" t="str">
        <x:v>全平台</x:v>
      </x:c>
      <x:c r="K132" s="21" t="str"/>
      <x:c r="L132" s="29" t="str">
        <x:v>未检查</x:v>
      </x:c>
      <x:c r="M132" s="29" t="str">
        <x:v>未确认</x:v>
      </x:c>
      <x:c r="N132" s="29" t="str">
        <x:v>未确认</x:v>
      </x:c>
      <x:c r="O132" s="29" t="str"/>
      <x:c r="P132" s="29" t="str">
        <x:f>IF(OR(L132="未检查",L132="通过",L132="不适用"),"",IFERROR(VLOOKUP(M132,'口径与下拉'!$A$9:$B$14,2,FALSE),0)+IFERROR(VLOOKUP(N132,'口径与下拉'!$D$9:$E$14,2,FALSE),0)+O132)</x:f>
      </x:c>
      <x:c r="Q132" s="29" t="str"/>
      <x:c r="R132" s="29" t="str">
        <x:f>IF(P132="","",IF(P132&gt;=13,"P0",IF(P132&gt;=10,"P1",IF(P132&gt;=7,"P2","P3"))))</x:f>
      </x:c>
      <x:c r="S132" s="21" t="str"/>
      <x:c r="T132" s="21" t="str"/>
      <x:c r="U132" s="21" t="str"/>
      <x:c r="V132" s="31" t="str"/>
      <x:c r="W132" s="21" t="str"/>
      <x:c r="X132" s="21" t="str">
        <x:v>未复测</x:v>
      </x:c>
      <x:c r="Y132" s="21" t="str"/>
    </x:row>
    <x:row r="133" ht="52" customHeight="1">
      <x:c r="A133" s="27" t="str">
        <x:v>UX-129</x:v>
      </x:c>
      <x:c r="B133" s="23" t="str">
        <x:v>10 物品、生成器、药匣与配方</x:v>
      </x:c>
      <x:c r="C133" s="23" t="str">
        <x:v>产线与制造</x:v>
      </x:c>
      <x:c r="D133" s="23" t="str">
        <x:v>灵阵/药匣/配方</x:v>
      </x:c>
      <x:c r="E133" s="21" t="str">
        <x:v>制作产物有安全落点</x:v>
      </x:c>
      <x:c r="F133" s="21" t="str">
        <x:v>棋盘满时进入待领取/药匣等明确位置，不静默丢失</x:v>
      </x:c>
      <x:c r="G133" s="21" t="str">
        <x:v>满盘制作测试</x:v>
      </x:c>
      <x:c r="H133" s="21" t="str">
        <x:v>数据/防软锁</x:v>
      </x:c>
      <x:c r="I133" s="21" t="str">
        <x:v>全流程</x:v>
      </x:c>
      <x:c r="J133" s="21" t="str">
        <x:v>全平台</x:v>
      </x:c>
      <x:c r="K133" s="21" t="str"/>
      <x:c r="L133" s="29" t="str">
        <x:v>未检查</x:v>
      </x:c>
      <x:c r="M133" s="29" t="str">
        <x:v>未确认</x:v>
      </x:c>
      <x:c r="N133" s="29" t="str">
        <x:v>未确认</x:v>
      </x:c>
      <x:c r="O133" s="29" t="str"/>
      <x:c r="P133" s="29" t="str">
        <x:f>IF(OR(L133="未检查",L133="通过",L133="不适用"),"",IFERROR(VLOOKUP(M133,'口径与下拉'!$A$9:$B$14,2,FALSE),0)+IFERROR(VLOOKUP(N133,'口径与下拉'!$D$9:$E$14,2,FALSE),0)+O133)</x:f>
      </x:c>
      <x:c r="Q133" s="29" t="str"/>
      <x:c r="R133" s="29" t="str">
        <x:f>IF(P133="","",IF(P133&gt;=13,"P0",IF(P133&gt;=10,"P1",IF(P133&gt;=7,"P2","P3"))))</x:f>
      </x:c>
      <x:c r="S133" s="21" t="str"/>
      <x:c r="T133" s="21" t="str"/>
      <x:c r="U133" s="21" t="str"/>
      <x:c r="V133" s="31" t="str"/>
      <x:c r="W133" s="21" t="str"/>
      <x:c r="X133" s="21" t="str">
        <x:v>未复测</x:v>
      </x:c>
      <x:c r="Y133" s="21" t="str"/>
    </x:row>
    <x:row r="134" ht="52" customHeight="1">
      <x:c r="A134" s="27" t="str">
        <x:v>UX-130</x:v>
      </x:c>
      <x:c r="B134" s="23" t="str">
        <x:v>10 物品、生成器、药匣与配方</x:v>
      </x:c>
      <x:c r="C134" s="23" t="str">
        <x:v>产线与制造</x:v>
      </x:c>
      <x:c r="D134" s="23" t="str">
        <x:v>灵阵/药匣/配方</x:v>
      </x:c>
      <x:c r="E134" s="21" t="str">
        <x:v>暂无消费场景物品不露出</x:v>
      </x:c>
      <x:c r="F134" s="21" t="str">
        <x:v>九转还魂露等无用途内容在正式版隐藏</x:v>
      </x:c>
      <x:c r="G134" s="21" t="str">
        <x:v>搜索入口/配方/图鉴/订单</x:v>
      </x:c>
      <x:c r="H134" s="21" t="str">
        <x:v>理解/品质</x:v>
      </x:c>
      <x:c r="I134" s="21" t="str">
        <x:v>全流程</x:v>
      </x:c>
      <x:c r="J134" s="21" t="str">
        <x:v>全平台</x:v>
      </x:c>
      <x:c r="K134" s="21" t="str"/>
      <x:c r="L134" s="29" t="str">
        <x:v>未检查</x:v>
      </x:c>
      <x:c r="M134" s="29" t="str">
        <x:v>未确认</x:v>
      </x:c>
      <x:c r="N134" s="29" t="str">
        <x:v>未确认</x:v>
      </x:c>
      <x:c r="O134" s="29" t="str"/>
      <x:c r="P134" s="29" t="str">
        <x:f>IF(OR(L134="未检查",L134="通过",L134="不适用"),"",IFERROR(VLOOKUP(M134,'口径与下拉'!$A$9:$B$14,2,FALSE),0)+IFERROR(VLOOKUP(N134,'口径与下拉'!$D$9:$E$14,2,FALSE),0)+O134)</x:f>
      </x:c>
      <x:c r="Q134" s="29" t="str"/>
      <x:c r="R134" s="29" t="str">
        <x:f>IF(P134="","",IF(P134&gt;=13,"P0",IF(P134&gt;=10,"P1",IF(P134&gt;=7,"P2","P3"))))</x:f>
      </x:c>
      <x:c r="S134" s="21" t="str"/>
      <x:c r="T134" s="21" t="str"/>
      <x:c r="U134" s="21" t="str"/>
      <x:c r="V134" s="31" t="str"/>
      <x:c r="W134" s="21" t="str"/>
      <x:c r="X134" s="21" t="str">
        <x:v>未复测</x:v>
      </x:c>
      <x:c r="Y134" s="21" t="str"/>
    </x:row>
    <x:row r="135" ht="52" customHeight="1">
      <x:c r="A135" s="27" t="str">
        <x:v>UX-131</x:v>
      </x:c>
      <x:c r="B135" s="23" t="str">
        <x:v>10 物品、生成器、药匣与配方</x:v>
      </x:c>
      <x:c r="C135" s="23" t="str">
        <x:v>产线与制造</x:v>
      </x:c>
      <x:c r="D135" s="23" t="str">
        <x:v>灵阵/药匣/配方</x:v>
      </x:c>
      <x:c r="E135" s="21" t="str">
        <x:v>数量与阶位展示不混淆</x:v>
      </x:c>
      <x:c r="F135" s="21" t="str">
        <x:v>×2、T2、二阶等采用统一口径，不能误读为成本或库存</x:v>
      </x:c>
      <x:c r="G135" s="21" t="str">
        <x:v>跨页面格式审查</x:v>
      </x:c>
      <x:c r="H135" s="21" t="str">
        <x:v>理解/操作</x:v>
      </x:c>
      <x:c r="I135" s="21" t="str">
        <x:v>全流程</x:v>
      </x:c>
      <x:c r="J135" s="21" t="str">
        <x:v>全平台</x:v>
      </x:c>
      <x:c r="K135" s="21" t="str"/>
      <x:c r="L135" s="29" t="str">
        <x:v>未检查</x:v>
      </x:c>
      <x:c r="M135" s="29" t="str">
        <x:v>未确认</x:v>
      </x:c>
      <x:c r="N135" s="29" t="str">
        <x:v>未确认</x:v>
      </x:c>
      <x:c r="O135" s="29" t="str"/>
      <x:c r="P135" s="29" t="str">
        <x:f>IF(OR(L135="未检查",L135="通过",L135="不适用"),"",IFERROR(VLOOKUP(M135,'口径与下拉'!$A$9:$B$14,2,FALSE),0)+IFERROR(VLOOKUP(N135,'口径与下拉'!$D$9:$E$14,2,FALSE),0)+O135)</x:f>
      </x:c>
      <x:c r="Q135" s="29" t="str"/>
      <x:c r="R135" s="29" t="str">
        <x:f>IF(P135="","",IF(P135&gt;=13,"P0",IF(P135&gt;=10,"P1",IF(P135&gt;=7,"P2","P3"))))</x:f>
      </x:c>
      <x:c r="S135" s="21" t="str"/>
      <x:c r="T135" s="21" t="str"/>
      <x:c r="U135" s="21" t="str"/>
      <x:c r="V135" s="31" t="str"/>
      <x:c r="W135" s="21" t="str"/>
      <x:c r="X135" s="21" t="str">
        <x:v>未复测</x:v>
      </x:c>
      <x:c r="Y135" s="21" t="str"/>
    </x:row>
    <x:row r="136" ht="52" customHeight="1">
      <x:c r="A136" s="27" t="str">
        <x:v>UX-132</x:v>
      </x:c>
      <x:c r="B136" s="23" t="str">
        <x:v>10 物品、生成器、药匣与配方</x:v>
      </x:c>
      <x:c r="C136" s="23" t="str">
        <x:v>产线与制造</x:v>
      </x:c>
      <x:c r="D136" s="23" t="str">
        <x:v>灵阵/药匣/配方</x:v>
      </x:c>
      <x:c r="E136" s="21" t="str">
        <x:v>旧档物品迁移保持多重集</x:v>
      </x:c>
      <x:c r="F136" s="21" t="str">
        <x:v>棋盘与药匣总物品种类、阶位和数量守恒</x:v>
      </x:c>
      <x:c r="G136" s="21" t="str">
        <x:v>迁移前后自动比对</x:v>
      </x:c>
      <x:c r="H136" s="21" t="str">
        <x:v>数据/信任</x:v>
      </x:c>
      <x:c r="I136" s="21" t="str">
        <x:v>全流程</x:v>
      </x:c>
      <x:c r="J136" s="21" t="str">
        <x:v>全平台</x:v>
      </x:c>
      <x:c r="K136" s="21" t="str"/>
      <x:c r="L136" s="29" t="str">
        <x:v>未检查</x:v>
      </x:c>
      <x:c r="M136" s="29" t="str">
        <x:v>未确认</x:v>
      </x:c>
      <x:c r="N136" s="29" t="str">
        <x:v>未确认</x:v>
      </x:c>
      <x:c r="O136" s="29" t="str"/>
      <x:c r="P136" s="29" t="str">
        <x:f>IF(OR(L136="未检查",L136="通过",L136="不适用"),"",IFERROR(VLOOKUP(M136,'口径与下拉'!$A$9:$B$14,2,FALSE),0)+IFERROR(VLOOKUP(N136,'口径与下拉'!$D$9:$E$14,2,FALSE),0)+O136)</x:f>
      </x:c>
      <x:c r="Q136" s="29" t="str"/>
      <x:c r="R136" s="29" t="str">
        <x:f>IF(P136="","",IF(P136&gt;=13,"P0",IF(P136&gt;=10,"P1",IF(P136&gt;=7,"P2","P3"))))</x:f>
      </x:c>
      <x:c r="S136" s="21" t="str"/>
      <x:c r="T136" s="21" t="str"/>
      <x:c r="U136" s="21" t="str"/>
      <x:c r="V136" s="31" t="str"/>
      <x:c r="W136" s="21" t="str"/>
      <x:c r="X136" s="21" t="str">
        <x:v>未复测</x:v>
      </x:c>
      <x:c r="Y136" s="21" t="str"/>
    </x:row>
    <x:row r="137" ht="52" customHeight="1">
      <x:c r="A137" s="27" t="str">
        <x:v>UX-133</x:v>
      </x:c>
      <x:c r="B137" s="23" t="str">
        <x:v>10 物品、生成器、药匣与配方</x:v>
      </x:c>
      <x:c r="C137" s="23" t="str">
        <x:v>产线与制造</x:v>
      </x:c>
      <x:c r="D137" s="23" t="str">
        <x:v>灵阵/药匣/配方</x:v>
      </x:c>
      <x:c r="E137" s="21" t="str">
        <x:v>待领取区可发现且可清空</x:v>
      </x:c>
      <x:c r="F137" s="21" t="str">
        <x:v>出现待领取时有明显提示；有空间后可逐个/批量领取</x:v>
      </x:c>
      <x:c r="G137" s="21" t="str">
        <x:v>满盘解锁与补发测试</x:v>
      </x:c>
      <x:c r="H137" s="21" t="str">
        <x:v>导航/防软锁</x:v>
      </x:c>
      <x:c r="I137" s="21" t="str">
        <x:v>全流程</x:v>
      </x:c>
      <x:c r="J137" s="21" t="str">
        <x:v>全平台</x:v>
      </x:c>
      <x:c r="K137" s="21" t="str"/>
      <x:c r="L137" s="29" t="str">
        <x:v>未检查</x:v>
      </x:c>
      <x:c r="M137" s="29" t="str">
        <x:v>未确认</x:v>
      </x:c>
      <x:c r="N137" s="29" t="str">
        <x:v>未确认</x:v>
      </x:c>
      <x:c r="O137" s="29" t="str"/>
      <x:c r="P137" s="29" t="str">
        <x:f>IF(OR(L137="未检查",L137="通过",L137="不适用"),"",IFERROR(VLOOKUP(M137,'口径与下拉'!$A$9:$B$14,2,FALSE),0)+IFERROR(VLOOKUP(N137,'口径与下拉'!$D$9:$E$14,2,FALSE),0)+O137)</x:f>
      </x:c>
      <x:c r="Q137" s="29" t="str"/>
      <x:c r="R137" s="29" t="str">
        <x:f>IF(P137="","",IF(P137&gt;=13,"P0",IF(P137&gt;=10,"P1",IF(P137&gt;=7,"P2","P3"))))</x:f>
      </x:c>
      <x:c r="S137" s="21" t="str"/>
      <x:c r="T137" s="21" t="str"/>
      <x:c r="U137" s="21" t="str"/>
      <x:c r="V137" s="31" t="str"/>
      <x:c r="W137" s="21" t="str"/>
      <x:c r="X137" s="21" t="str">
        <x:v>未复测</x:v>
      </x:c>
      <x:c r="Y137" s="21" t="str"/>
    </x:row>
    <x:row r="138" ht="52" customHeight="1">
      <x:c r="A138" s="27" t="str">
        <x:v>UX-134</x:v>
      </x:c>
      <x:c r="B138" s="23" t="str">
        <x:v>10 物品、生成器、药匣与配方</x:v>
      </x:c>
      <x:c r="C138" s="23" t="str">
        <x:v>产线与制造</x:v>
      </x:c>
      <x:c r="D138" s="23" t="str">
        <x:v>灵阵/药匣/配方</x:v>
      </x:c>
      <x:c r="E138" s="21" t="str">
        <x:v>物品图标阶位递进可辨</x:v>
      </x:c>
      <x:c r="F138" s="21" t="str">
        <x:v>相邻阶位不只靠微小颜色差，缩略尺寸仍能区分</x:v>
      </x:c>
      <x:c r="G138" s="21" t="str">
        <x:v>灰阶/小屏图标盲测</x:v>
      </x:c>
      <x:c r="H138" s="21" t="str">
        <x:v>可读性/美术</x:v>
      </x:c>
      <x:c r="I138" s="21" t="str">
        <x:v>全流程</x:v>
      </x:c>
      <x:c r="J138" s="21" t="str">
        <x:v>全平台</x:v>
      </x:c>
      <x:c r="K138" s="21" t="str"/>
      <x:c r="L138" s="29" t="str">
        <x:v>未检查</x:v>
      </x:c>
      <x:c r="M138" s="29" t="str">
        <x:v>未确认</x:v>
      </x:c>
      <x:c r="N138" s="29" t="str">
        <x:v>未确认</x:v>
      </x:c>
      <x:c r="O138" s="29" t="str"/>
      <x:c r="P138" s="29" t="str">
        <x:f>IF(OR(L138="未检查",L138="通过",L138="不适用"),"",IFERROR(VLOOKUP(M138,'口径与下拉'!$A$9:$B$14,2,FALSE),0)+IFERROR(VLOOKUP(N138,'口径与下拉'!$D$9:$E$14,2,FALSE),0)+O138)</x:f>
      </x:c>
      <x:c r="Q138" s="29" t="str"/>
      <x:c r="R138" s="29" t="str">
        <x:f>IF(P138="","",IF(P138&gt;=13,"P0",IF(P138&gt;=10,"P1",IF(P138&gt;=7,"P2","P3"))))</x:f>
      </x:c>
      <x:c r="S138" s="21" t="str"/>
      <x:c r="T138" s="21" t="str"/>
      <x:c r="U138" s="21" t="str"/>
      <x:c r="V138" s="31" t="str"/>
      <x:c r="W138" s="21" t="str"/>
      <x:c r="X138" s="21" t="str">
        <x:v>未复测</x:v>
      </x:c>
      <x:c r="Y138" s="21" t="str"/>
    </x:row>
    <x:row r="139" ht="52" customHeight="1">
      <x:c r="A139" s="27" t="str">
        <x:v>UX-135</x:v>
      </x:c>
      <x:c r="B139" s="23" t="str">
        <x:v>11 当前目标、订单与素材来源</x:v>
      </x:c>
      <x:c r="C139" s="23" t="str">
        <x:v>目标驱动</x:v>
      </x:c>
      <x:c r="D139" s="23" t="str">
        <x:v>目标栏/医馆五槽/订单</x:v>
      </x:c>
      <x:c r="E139" s="21" t="str">
        <x:v>医馆五槽固定且命名正确</x:v>
      </x:c>
      <x:c r="F139" s="21" t="str">
        <x:v>卷章、修缮、医案、访客、旅程齐全；主线仅作附加标记</x:v>
      </x:c>
      <x:c r="G139" s="21" t="str">
        <x:v>逐状态截图与 DOM 核对</x:v>
      </x:c>
      <x:c r="H139" s="21" t="str">
        <x:v>理解/操作</x:v>
      </x:c>
      <x:c r="I139" s="21" t="str">
        <x:v>全流程</x:v>
      </x:c>
      <x:c r="J139" s="21" t="str">
        <x:v>全平台</x:v>
      </x:c>
      <x:c r="K139" s="21" t="str"/>
      <x:c r="L139" s="29" t="str">
        <x:v>未检查</x:v>
      </x:c>
      <x:c r="M139" s="29" t="str">
        <x:v>未确认</x:v>
      </x:c>
      <x:c r="N139" s="29" t="str">
        <x:v>未确认</x:v>
      </x:c>
      <x:c r="O139" s="29" t="str"/>
      <x:c r="P139" s="29" t="str">
        <x:f>IF(OR(L139="未检查",L139="通过",L139="不适用"),"",IFERROR(VLOOKUP(M139,'口径与下拉'!$A$9:$B$14,2,FALSE),0)+IFERROR(VLOOKUP(N139,'口径与下拉'!$D$9:$E$14,2,FALSE),0)+O139)</x:f>
      </x:c>
      <x:c r="Q139" s="29" t="str"/>
      <x:c r="R139" s="29" t="str">
        <x:f>IF(P139="","",IF(P139&gt;=13,"P0",IF(P139&gt;=10,"P1",IF(P139&gt;=7,"P2","P3"))))</x:f>
      </x:c>
      <x:c r="S139" s="21" t="str"/>
      <x:c r="T139" s="21" t="str"/>
      <x:c r="U139" s="21" t="str"/>
      <x:c r="V139" s="31" t="str"/>
      <x:c r="W139" s="21" t="str"/>
      <x:c r="X139" s="21" t="str">
        <x:v>未复测</x:v>
      </x:c>
      <x:c r="Y139" s="21" t="str"/>
    </x:row>
    <x:row r="140" ht="52" customHeight="1">
      <x:c r="A140" s="27" t="str">
        <x:v>UX-136</x:v>
      </x:c>
      <x:c r="B140" s="23" t="str">
        <x:v>11 当前目标、订单与素材来源</x:v>
      </x:c>
      <x:c r="C140" s="23" t="str">
        <x:v>目标驱动</x:v>
      </x:c>
      <x:c r="D140" s="23" t="str">
        <x:v>目标栏/医馆五槽/订单</x:v>
      </x:c>
      <x:c r="E140" s="21" t="str">
        <x:v>唯一下一步计算一致</x:v>
      </x:c>
      <x:c r="F140" s="21" t="str">
        <x:v>同一状态各入口不互相矛盾，不指向已完成/未解锁事项</x:v>
      </x:c>
      <x:c r="G140" s="21" t="str">
        <x:v>状态机抽样 + 跨页比对</x:v>
      </x:c>
      <x:c r="H140" s="21" t="str">
        <x:v>理解/操作</x:v>
      </x:c>
      <x:c r="I140" s="21" t="str">
        <x:v>全流程</x:v>
      </x:c>
      <x:c r="J140" s="21" t="str">
        <x:v>全平台</x:v>
      </x:c>
      <x:c r="K140" s="21" t="str"/>
      <x:c r="L140" s="29" t="str">
        <x:v>未检查</x:v>
      </x:c>
      <x:c r="M140" s="29" t="str">
        <x:v>未确认</x:v>
      </x:c>
      <x:c r="N140" s="29" t="str">
        <x:v>未确认</x:v>
      </x:c>
      <x:c r="O140" s="29" t="str"/>
      <x:c r="P140" s="29" t="str">
        <x:f>IF(OR(L140="未检查",L140="通过",L140="不适用"),"",IFERROR(VLOOKUP(M140,'口径与下拉'!$A$9:$B$14,2,FALSE),0)+IFERROR(VLOOKUP(N140,'口径与下拉'!$D$9:$E$14,2,FALSE),0)+O140)</x:f>
      </x:c>
      <x:c r="Q140" s="29" t="str"/>
      <x:c r="R140" s="29" t="str">
        <x:f>IF(P140="","",IF(P140&gt;=13,"P0",IF(P140&gt;=10,"P1",IF(P140&gt;=7,"P2","P3"))))</x:f>
      </x:c>
      <x:c r="S140" s="21" t="str"/>
      <x:c r="T140" s="21" t="str"/>
      <x:c r="U140" s="21" t="str"/>
      <x:c r="V140" s="31" t="str"/>
      <x:c r="W140" s="21" t="str"/>
      <x:c r="X140" s="21" t="str">
        <x:v>未复测</x:v>
      </x:c>
      <x:c r="Y140" s="21" t="str"/>
    </x:row>
    <x:row r="141" ht="52" customHeight="1">
      <x:c r="A141" s="27" t="str">
        <x:v>UX-137</x:v>
      </x:c>
      <x:c r="B141" s="23" t="str">
        <x:v>11 当前目标、订单与素材来源</x:v>
      </x:c>
      <x:c r="C141" s="23" t="str">
        <x:v>目标驱动</x:v>
      </x:c>
      <x:c r="D141" s="23" t="str">
        <x:v>目标栏/医馆五槽/订单</x:v>
      </x:c>
      <x:c r="E141" s="21" t="str">
        <x:v>目标描述包含动作与地点</x:v>
      </x:c>
      <x:c r="F141" s="21" t="str">
        <x:v>玩家无需猜测做什么、去哪、还差什么</x:v>
      </x:c>
      <x:c r="G141" s="21" t="str">
        <x:v>新玩家复述测试</x:v>
      </x:c>
      <x:c r="H141" s="21" t="str">
        <x:v>理解/操作</x:v>
      </x:c>
      <x:c r="I141" s="21" t="str">
        <x:v>全流程</x:v>
      </x:c>
      <x:c r="J141" s="21" t="str">
        <x:v>全平台</x:v>
      </x:c>
      <x:c r="K141" s="21" t="str"/>
      <x:c r="L141" s="29" t="str">
        <x:v>未检查</x:v>
      </x:c>
      <x:c r="M141" s="29" t="str">
        <x:v>未确认</x:v>
      </x:c>
      <x:c r="N141" s="29" t="str">
        <x:v>未确认</x:v>
      </x:c>
      <x:c r="O141" s="29" t="str"/>
      <x:c r="P141" s="29" t="str">
        <x:f>IF(OR(L141="未检查",L141="通过",L141="不适用"),"",IFERROR(VLOOKUP(M141,'口径与下拉'!$A$9:$B$14,2,FALSE),0)+IFERROR(VLOOKUP(N141,'口径与下拉'!$D$9:$E$14,2,FALSE),0)+O141)</x:f>
      </x:c>
      <x:c r="Q141" s="29" t="str"/>
      <x:c r="R141" s="29" t="str">
        <x:f>IF(P141="","",IF(P141&gt;=13,"P0",IF(P141&gt;=10,"P1",IF(P141&gt;=7,"P2","P3"))))</x:f>
      </x:c>
      <x:c r="S141" s="21" t="str"/>
      <x:c r="T141" s="21" t="str"/>
      <x:c r="U141" s="21" t="str"/>
      <x:c r="V141" s="31" t="str"/>
      <x:c r="W141" s="21" t="str"/>
      <x:c r="X141" s="21" t="str">
        <x:v>未复测</x:v>
      </x:c>
      <x:c r="Y141" s="21" t="str"/>
    </x:row>
    <x:row r="142" ht="52" customHeight="1">
      <x:c r="A142" s="27" t="str">
        <x:v>UX-138</x:v>
      </x:c>
      <x:c r="B142" s="23" t="str">
        <x:v>11 当前目标、订单与素材来源</x:v>
      </x:c>
      <x:c r="C142" s="23" t="str">
        <x:v>目标驱动</x:v>
      </x:c>
      <x:c r="D142" s="23" t="str">
        <x:v>目标栏/医馆五槽/订单</x:v>
      </x:c>
      <x:c r="E142" s="21" t="str">
        <x:v>目标进度实时更新</x:v>
      </x:c>
      <x:c r="F142" s="21" t="str">
        <x:v>资源、故事、修缮、照料、蜕变完成后无需刷新即更新</x:v>
      </x:c>
      <x:c r="G142" s="21" t="str">
        <x:v>节点前后实时观察</x:v>
      </x:c>
      <x:c r="H142" s="21" t="str">
        <x:v>理解/操作</x:v>
      </x:c>
      <x:c r="I142" s="21" t="str">
        <x:v>全流程</x:v>
      </x:c>
      <x:c r="J142" s="21" t="str">
        <x:v>全平台</x:v>
      </x:c>
      <x:c r="K142" s="21" t="str"/>
      <x:c r="L142" s="29" t="str">
        <x:v>未检查</x:v>
      </x:c>
      <x:c r="M142" s="29" t="str">
        <x:v>未确认</x:v>
      </x:c>
      <x:c r="N142" s="29" t="str">
        <x:v>未确认</x:v>
      </x:c>
      <x:c r="O142" s="29" t="str"/>
      <x:c r="P142" s="29" t="str">
        <x:f>IF(OR(L142="未检查",L142="通过",L142="不适用"),"",IFERROR(VLOOKUP(M142,'口径与下拉'!$A$9:$B$14,2,FALSE),0)+IFERROR(VLOOKUP(N142,'口径与下拉'!$D$9:$E$14,2,FALSE),0)+O142)</x:f>
      </x:c>
      <x:c r="Q142" s="29" t="str"/>
      <x:c r="R142" s="29" t="str">
        <x:f>IF(P142="","",IF(P142&gt;=13,"P0",IF(P142&gt;=10,"P1",IF(P142&gt;=7,"P2","P3"))))</x:f>
      </x:c>
      <x:c r="S142" s="21" t="str"/>
      <x:c r="T142" s="21" t="str"/>
      <x:c r="U142" s="21" t="str"/>
      <x:c r="V142" s="31" t="str"/>
      <x:c r="W142" s="21" t="str"/>
      <x:c r="X142" s="21" t="str">
        <x:v>未复测</x:v>
      </x:c>
      <x:c r="Y142" s="21" t="str"/>
    </x:row>
    <x:row r="143" ht="52" customHeight="1">
      <x:c r="A143" s="27" t="str">
        <x:v>UX-139</x:v>
      </x:c>
      <x:c r="B143" s="23" t="str">
        <x:v>11 当前目标、订单与素材来源</x:v>
      </x:c>
      <x:c r="C143" s="23" t="str">
        <x:v>目标驱动</x:v>
      </x:c>
      <x:c r="D143" s="23" t="str">
        <x:v>目标栏/医馆五槽/订单</x:v>
      </x:c>
      <x:c r="E143" s="21" t="str">
        <x:v>订单需求阶位不越界</x:v>
      </x:c>
      <x:c r="F143" s="21" t="str">
        <x:v>需求受所属家族上限与当前可达产线约束</x:v>
      </x:c>
      <x:c r="G143" s="21" t="str">
        <x:v>批量订单生成校验</x:v>
      </x:c>
      <x:c r="H143" s="21" t="str">
        <x:v>经济/防软锁</x:v>
      </x:c>
      <x:c r="I143" s="21" t="str">
        <x:v>全流程</x:v>
      </x:c>
      <x:c r="J143" s="21" t="str">
        <x:v>全平台</x:v>
      </x:c>
      <x:c r="K143" s="21" t="str"/>
      <x:c r="L143" s="29" t="str">
        <x:v>未检查</x:v>
      </x:c>
      <x:c r="M143" s="29" t="str">
        <x:v>未确认</x:v>
      </x:c>
      <x:c r="N143" s="29" t="str">
        <x:v>未确认</x:v>
      </x:c>
      <x:c r="O143" s="29" t="str"/>
      <x:c r="P143" s="29" t="str">
        <x:f>IF(OR(L143="未检查",L143="通过",L143="不适用"),"",IFERROR(VLOOKUP(M143,'口径与下拉'!$A$9:$B$14,2,FALSE),0)+IFERROR(VLOOKUP(N143,'口径与下拉'!$D$9:$E$14,2,FALSE),0)+O143)</x:f>
      </x:c>
      <x:c r="Q143" s="29" t="str"/>
      <x:c r="R143" s="29" t="str">
        <x:f>IF(P143="","",IF(P143&gt;=13,"P0",IF(P143&gt;=10,"P1",IF(P143&gt;=7,"P2","P3"))))</x:f>
      </x:c>
      <x:c r="S143" s="21" t="str"/>
      <x:c r="T143" s="21" t="str"/>
      <x:c r="U143" s="21" t="str"/>
      <x:c r="V143" s="31" t="str"/>
      <x:c r="W143" s="21" t="str"/>
      <x:c r="X143" s="21" t="str">
        <x:v>未复测</x:v>
      </x:c>
      <x:c r="Y143" s="21" t="str"/>
    </x:row>
    <x:row r="144" ht="52" customHeight="1">
      <x:c r="A144" s="27" t="str">
        <x:v>UX-140</x:v>
      </x:c>
      <x:c r="B144" s="23" t="str">
        <x:v>11 当前目标、订单与素材来源</x:v>
      </x:c>
      <x:c r="C144" s="23" t="str">
        <x:v>目标驱动</x:v>
      </x:c>
      <x:c r="D144" s="23" t="str">
        <x:v>目标栏/医馆五槽/订单</x:v>
      </x:c>
      <x:c r="E144" s="21" t="str">
        <x:v>至少保留可完成目标</x:v>
      </x:c>
      <x:c r="F144" s="21" t="str">
        <x:v>不会出现全部订单/任务都依赖未解锁来源的局面</x:v>
      </x:c>
      <x:c r="G144" s="21" t="str">
        <x:v>多阶段长时间模拟</x:v>
      </x:c>
      <x:c r="H144" s="21" t="str">
        <x:v>防软锁/留存</x:v>
      </x:c>
      <x:c r="I144" s="21" t="str">
        <x:v>全流程</x:v>
      </x:c>
      <x:c r="J144" s="21" t="str">
        <x:v>全平台</x:v>
      </x:c>
      <x:c r="K144" s="21" t="str"/>
      <x:c r="L144" s="29" t="str">
        <x:v>未检查</x:v>
      </x:c>
      <x:c r="M144" s="29" t="str">
        <x:v>未确认</x:v>
      </x:c>
      <x:c r="N144" s="29" t="str">
        <x:v>未确认</x:v>
      </x:c>
      <x:c r="O144" s="29" t="str"/>
      <x:c r="P144" s="29" t="str">
        <x:f>IF(OR(L144="未检查",L144="通过",L144="不适用"),"",IFERROR(VLOOKUP(M144,'口径与下拉'!$A$9:$B$14,2,FALSE),0)+IFERROR(VLOOKUP(N144,'口径与下拉'!$D$9:$E$14,2,FALSE),0)+O144)</x:f>
      </x:c>
      <x:c r="Q144" s="29" t="str"/>
      <x:c r="R144" s="29" t="str">
        <x:f>IF(P144="","",IF(P144&gt;=13,"P0",IF(P144&gt;=10,"P1",IF(P144&gt;=7,"P2","P3"))))</x:f>
      </x:c>
      <x:c r="S144" s="21" t="str"/>
      <x:c r="T144" s="21" t="str"/>
      <x:c r="U144" s="21" t="str"/>
      <x:c r="V144" s="31" t="str"/>
      <x:c r="W144" s="21" t="str"/>
      <x:c r="X144" s="21" t="str">
        <x:v>未复测</x:v>
      </x:c>
      <x:c r="Y144" s="21" t="str"/>
    </x:row>
    <x:row r="145" ht="52" customHeight="1">
      <x:c r="A145" s="27" t="str">
        <x:v>UX-141</x:v>
      </x:c>
      <x:c r="B145" s="23" t="str">
        <x:v>11 当前目标、订单与素材来源</x:v>
      </x:c>
      <x:c r="C145" s="23" t="str">
        <x:v>目标驱动</x:v>
      </x:c>
      <x:c r="D145" s="23" t="str">
        <x:v>目标栏/医馆五槽/订单</x:v>
      </x:c>
      <x:c r="E145" s="21" t="str">
        <x:v>提交前后资源守恒</x:v>
      </x:c>
      <x:c r="F145" s="21" t="str">
        <x:v>只消耗明确需求；奖励、阅历、进度只结算一次</x:v>
      </x:c>
      <x:c r="G145" s="21" t="str">
        <x:v>连点/刷新/断网提交</x:v>
      </x:c>
      <x:c r="H145" s="21" t="str">
        <x:v>数据/信任</x:v>
      </x:c>
      <x:c r="I145" s="21" t="str">
        <x:v>全流程</x:v>
      </x:c>
      <x:c r="J145" s="21" t="str">
        <x:v>全平台</x:v>
      </x:c>
      <x:c r="K145" s="21" t="str"/>
      <x:c r="L145" s="29" t="str">
        <x:v>未检查</x:v>
      </x:c>
      <x:c r="M145" s="29" t="str">
        <x:v>未确认</x:v>
      </x:c>
      <x:c r="N145" s="29" t="str">
        <x:v>未确认</x:v>
      </x:c>
      <x:c r="O145" s="29" t="str"/>
      <x:c r="P145" s="29" t="str">
        <x:f>IF(OR(L145="未检查",L145="通过",L145="不适用"),"",IFERROR(VLOOKUP(M145,'口径与下拉'!$A$9:$B$14,2,FALSE),0)+IFERROR(VLOOKUP(N145,'口径与下拉'!$D$9:$E$14,2,FALSE),0)+O145)</x:f>
      </x:c>
      <x:c r="Q145" s="29" t="str"/>
      <x:c r="R145" s="29" t="str">
        <x:f>IF(P145="","",IF(P145&gt;=13,"P0",IF(P145&gt;=10,"P1",IF(P145&gt;=7,"P2","P3"))))</x:f>
      </x:c>
      <x:c r="S145" s="21" t="str"/>
      <x:c r="T145" s="21" t="str"/>
      <x:c r="U145" s="21" t="str"/>
      <x:c r="V145" s="31" t="str"/>
      <x:c r="W145" s="21" t="str"/>
      <x:c r="X145" s="21" t="str">
        <x:v>未复测</x:v>
      </x:c>
      <x:c r="Y145" s="21" t="str"/>
    </x:row>
    <x:row r="146" ht="52" customHeight="1">
      <x:c r="A146" s="27" t="str">
        <x:v>UX-142</x:v>
      </x:c>
      <x:c r="B146" s="23" t="str">
        <x:v>11 当前目标、订单与素材来源</x:v>
      </x:c>
      <x:c r="C146" s="23" t="str">
        <x:v>目标驱动</x:v>
      </x:c>
      <x:c r="D146" s="23" t="str">
        <x:v>目标栏/医馆五槽/订单</x:v>
      </x:c>
      <x:c r="E146" s="21" t="str">
        <x:v>奖励预览与实发一致</x:v>
      </x:c>
      <x:c r="F146" s="21" t="str">
        <x:v>暖玉、阅历、物品和解锁数值无四舍五入或文案差异</x:v>
      </x:c>
      <x:c r="G146" s="21" t="str">
        <x:v>前后状态差值核对</x:v>
      </x:c>
      <x:c r="H146" s="21" t="str">
        <x:v>经济/信任</x:v>
      </x:c>
      <x:c r="I146" s="21" t="str">
        <x:v>全流程</x:v>
      </x:c>
      <x:c r="J146" s="21" t="str">
        <x:v>全平台</x:v>
      </x:c>
      <x:c r="K146" s="21" t="str"/>
      <x:c r="L146" s="29" t="str">
        <x:v>未检查</x:v>
      </x:c>
      <x:c r="M146" s="29" t="str">
        <x:v>未确认</x:v>
      </x:c>
      <x:c r="N146" s="29" t="str">
        <x:v>未确认</x:v>
      </x:c>
      <x:c r="O146" s="29" t="str"/>
      <x:c r="P146" s="29" t="str">
        <x:f>IF(OR(L146="未检查",L146="通过",L146="不适用"),"",IFERROR(VLOOKUP(M146,'口径与下拉'!$A$9:$B$14,2,FALSE),0)+IFERROR(VLOOKUP(N146,'口径与下拉'!$D$9:$E$14,2,FALSE),0)+O146)</x:f>
      </x:c>
      <x:c r="Q146" s="29" t="str"/>
      <x:c r="R146" s="29" t="str">
        <x:f>IF(P146="","",IF(P146&gt;=13,"P0",IF(P146&gt;=10,"P1",IF(P146&gt;=7,"P2","P3"))))</x:f>
      </x:c>
      <x:c r="S146" s="21" t="str"/>
      <x:c r="T146" s="21" t="str"/>
      <x:c r="U146" s="21" t="str"/>
      <x:c r="V146" s="31" t="str"/>
      <x:c r="W146" s="21" t="str"/>
      <x:c r="X146" s="21" t="str">
        <x:v>未复测</x:v>
      </x:c>
      <x:c r="Y146" s="21" t="str"/>
    </x:row>
    <x:row r="147" ht="52" customHeight="1">
      <x:c r="A147" s="27" t="str">
        <x:v>UX-143</x:v>
      </x:c>
      <x:c r="B147" s="23" t="str">
        <x:v>11 当前目标、订单与素材来源</x:v>
      </x:c>
      <x:c r="C147" s="23" t="str">
        <x:v>目标驱动</x:v>
      </x:c>
      <x:c r="D147" s="23" t="str">
        <x:v>目标栏/医馆五槽/订单</x:v>
      </x:c>
      <x:c r="E147" s="21" t="str">
        <x:v>订单刷新不闪烁或跳错槽</x:v>
      </x:c>
      <x:c r="F147" s="21" t="str">
        <x:v>只刷新完成项；焦点和滚动位置稳定</x:v>
      </x:c>
      <x:c r="G147" s="21" t="str">
        <x:v>连续完成多单</x:v>
      </x:c>
      <x:c r="H147" s="21" t="str">
        <x:v>理解/操作</x:v>
      </x:c>
      <x:c r="I147" s="21" t="str">
        <x:v>全流程</x:v>
      </x:c>
      <x:c r="J147" s="21" t="str">
        <x:v>全平台</x:v>
      </x:c>
      <x:c r="K147" s="21" t="str"/>
      <x:c r="L147" s="29" t="str">
        <x:v>未检查</x:v>
      </x:c>
      <x:c r="M147" s="29" t="str">
        <x:v>未确认</x:v>
      </x:c>
      <x:c r="N147" s="29" t="str">
        <x:v>未确认</x:v>
      </x:c>
      <x:c r="O147" s="29" t="str"/>
      <x:c r="P147" s="29" t="str">
        <x:f>IF(OR(L147="未检查",L147="通过",L147="不适用"),"",IFERROR(VLOOKUP(M147,'口径与下拉'!$A$9:$B$14,2,FALSE),0)+IFERROR(VLOOKUP(N147,'口径与下拉'!$D$9:$E$14,2,FALSE),0)+O147)</x:f>
      </x:c>
      <x:c r="Q147" s="29" t="str"/>
      <x:c r="R147" s="29" t="str">
        <x:f>IF(P147="","",IF(P147&gt;=13,"P0",IF(P147&gt;=10,"P1",IF(P147&gt;=7,"P2","P3"))))</x:f>
      </x:c>
      <x:c r="S147" s="21" t="str"/>
      <x:c r="T147" s="21" t="str"/>
      <x:c r="U147" s="21" t="str"/>
      <x:c r="V147" s="31" t="str"/>
      <x:c r="W147" s="21" t="str"/>
      <x:c r="X147" s="21" t="str">
        <x:v>未复测</x:v>
      </x:c>
      <x:c r="Y147" s="21" t="str"/>
    </x:row>
    <x:row r="148" ht="52" customHeight="1">
      <x:c r="A148" s="27" t="str">
        <x:v>UX-144</x:v>
      </x:c>
      <x:c r="B148" s="23" t="str">
        <x:v>11 当前目标、订单与素材来源</x:v>
      </x:c>
      <x:c r="C148" s="23" t="str">
        <x:v>目标驱动</x:v>
      </x:c>
      <x:c r="D148" s="23" t="str">
        <x:v>目标栏/医馆五槽/订单</x:v>
      </x:c>
      <x:c r="E148" s="21" t="str">
        <x:v>条件可得来源解释条件</x:v>
      </x:c>
      <x:c r="F148" s="21" t="str">
        <x:v>显示需完成的卷章、区域、设施或配方，并可前往可行动步骤</x:v>
      </x:c>
      <x:c r="G148" s="21" t="str">
        <x:v>锁定来源逐项检查</x:v>
      </x:c>
      <x:c r="H148" s="21" t="str">
        <x:v>理解/操作</x:v>
      </x:c>
      <x:c r="I148" s="21" t="str">
        <x:v>全流程</x:v>
      </x:c>
      <x:c r="J148" s="21" t="str">
        <x:v>全平台</x:v>
      </x:c>
      <x:c r="K148" s="21" t="str"/>
      <x:c r="L148" s="29" t="str">
        <x:v>未检查</x:v>
      </x:c>
      <x:c r="M148" s="29" t="str">
        <x:v>未确认</x:v>
      </x:c>
      <x:c r="N148" s="29" t="str">
        <x:v>未确认</x:v>
      </x:c>
      <x:c r="O148" s="29" t="str"/>
      <x:c r="P148" s="29" t="str">
        <x:f>IF(OR(L148="未检查",L148="通过",L148="不适用"),"",IFERROR(VLOOKUP(M148,'口径与下拉'!$A$9:$B$14,2,FALSE),0)+IFERROR(VLOOKUP(N148,'口径与下拉'!$D$9:$E$14,2,FALSE),0)+O148)</x:f>
      </x:c>
      <x:c r="Q148" s="29" t="str"/>
      <x:c r="R148" s="29" t="str">
        <x:f>IF(P148="","",IF(P148&gt;=13,"P0",IF(P148&gt;=10,"P1",IF(P148&gt;=7,"P2","P3"))))</x:f>
      </x:c>
      <x:c r="S148" s="21" t="str"/>
      <x:c r="T148" s="21" t="str"/>
      <x:c r="U148" s="21" t="str"/>
      <x:c r="V148" s="31" t="str"/>
      <x:c r="W148" s="21" t="str"/>
      <x:c r="X148" s="21" t="str">
        <x:v>未复测</x:v>
      </x:c>
      <x:c r="Y148" s="21" t="str"/>
    </x:row>
    <x:row r="149" ht="52" customHeight="1">
      <x:c r="A149" s="27" t="str">
        <x:v>UX-145</x:v>
      </x:c>
      <x:c r="B149" s="23" t="str">
        <x:v>11 当前目标、订单与素材来源</x:v>
      </x:c>
      <x:c r="C149" s="23" t="str">
        <x:v>目标驱动</x:v>
      </x:c>
      <x:c r="D149" s="23" t="str">
        <x:v>目标栏/医馆五槽/订单</x:v>
      </x:c>
      <x:c r="E149" s="21" t="str">
        <x:v>不可获得状态不制造希望</x:v>
      </x:c>
      <x:c r="F149" s="21" t="str">
        <x:v>明确当前版本/当前路径不可得，不给虚假前往按钮</x:v>
      </x:c>
      <x:c r="G149" s="21" t="str">
        <x:v>构造不可获得需求</x:v>
      </x:c>
      <x:c r="H149" s="21" t="str">
        <x:v>理解/操作</x:v>
      </x:c>
      <x:c r="I149" s="21" t="str">
        <x:v>全流程</x:v>
      </x:c>
      <x:c r="J149" s="21" t="str">
        <x:v>全平台</x:v>
      </x:c>
      <x:c r="K149" s="21" t="str"/>
      <x:c r="L149" s="29" t="str">
        <x:v>未检查</x:v>
      </x:c>
      <x:c r="M149" s="29" t="str">
        <x:v>未确认</x:v>
      </x:c>
      <x:c r="N149" s="29" t="str">
        <x:v>未确认</x:v>
      </x:c>
      <x:c r="O149" s="29" t="str"/>
      <x:c r="P149" s="29" t="str">
        <x:f>IF(OR(L149="未检查",L149="通过",L149="不适用"),"",IFERROR(VLOOKUP(M149,'口径与下拉'!$A$9:$B$14,2,FALSE),0)+IFERROR(VLOOKUP(N149,'口径与下拉'!$D$9:$E$14,2,FALSE),0)+O149)</x:f>
      </x:c>
      <x:c r="Q149" s="29" t="str"/>
      <x:c r="R149" s="29" t="str">
        <x:f>IF(P149="","",IF(P149&gt;=13,"P0",IF(P149&gt;=10,"P1",IF(P149&gt;=7,"P2","P3"))))</x:f>
      </x:c>
      <x:c r="S149" s="21" t="str"/>
      <x:c r="T149" s="21" t="str"/>
      <x:c r="U149" s="21" t="str"/>
      <x:c r="V149" s="31" t="str"/>
      <x:c r="W149" s="21" t="str"/>
      <x:c r="X149" s="21" t="str">
        <x:v>未复测</x:v>
      </x:c>
      <x:c r="Y149" s="21" t="str"/>
    </x:row>
    <x:row r="150" ht="52" customHeight="1">
      <x:c r="A150" s="27" t="str">
        <x:v>UX-146</x:v>
      </x:c>
      <x:c r="B150" s="23" t="str">
        <x:v>11 当前目标、订单与素材来源</x:v>
      </x:c>
      <x:c r="C150" s="23" t="str">
        <x:v>目标驱动</x:v>
      </x:c>
      <x:c r="D150" s="23" t="str">
        <x:v>目标栏/医馆五槽/订单</x:v>
      </x:c>
      <x:c r="E150" s="21" t="str">
        <x:v>目标与剧情先后顺序一致</x:v>
      </x:c>
      <x:c r="F150" s="21" t="str">
        <x:v>不会让玩家提前照料、蜕变、上岗或跳卷</x:v>
      </x:c>
      <x:c r="G150" s="21" t="str">
        <x:v>卷章状态机边界测试</x:v>
      </x:c>
      <x:c r="H150" s="21" t="str">
        <x:v>理解/操作</x:v>
      </x:c>
      <x:c r="I150" s="21" t="str">
        <x:v>全流程</x:v>
      </x:c>
      <x:c r="J150" s="21" t="str">
        <x:v>全平台</x:v>
      </x:c>
      <x:c r="K150" s="21" t="str"/>
      <x:c r="L150" s="29" t="str">
        <x:v>未检查</x:v>
      </x:c>
      <x:c r="M150" s="29" t="str">
        <x:v>未确认</x:v>
      </x:c>
      <x:c r="N150" s="29" t="str">
        <x:v>未确认</x:v>
      </x:c>
      <x:c r="O150" s="29" t="str"/>
      <x:c r="P150" s="29" t="str">
        <x:f>IF(OR(L150="未检查",L150="通过",L150="不适用"),"",IFERROR(VLOOKUP(M150,'口径与下拉'!$A$9:$B$14,2,FALSE),0)+IFERROR(VLOOKUP(N150,'口径与下拉'!$D$9:$E$14,2,FALSE),0)+O150)</x:f>
      </x:c>
      <x:c r="Q150" s="29" t="str"/>
      <x:c r="R150" s="29" t="str">
        <x:f>IF(P150="","",IF(P150&gt;=13,"P0",IF(P150&gt;=10,"P1",IF(P150&gt;=7,"P2","P3"))))</x:f>
      </x:c>
      <x:c r="S150" s="21" t="str"/>
      <x:c r="T150" s="21" t="str"/>
      <x:c r="U150" s="21" t="str"/>
      <x:c r="V150" s="31" t="str"/>
      <x:c r="W150" s="21" t="str"/>
      <x:c r="X150" s="21" t="str">
        <x:v>未复测</x:v>
      </x:c>
      <x:c r="Y150" s="21" t="str"/>
    </x:row>
    <x:row r="151" ht="52" customHeight="1">
      <x:c r="A151" s="27" t="str">
        <x:v>UX-147</x:v>
      </x:c>
      <x:c r="B151" s="23" t="str">
        <x:v>11 当前目标、订单与素材来源</x:v>
      </x:c>
      <x:c r="C151" s="23" t="str">
        <x:v>目标驱动</x:v>
      </x:c>
      <x:c r="D151" s="23" t="str">
        <x:v>目标栏/医馆五槽/订单</x:v>
      </x:c>
      <x:c r="E151" s="21" t="str">
        <x:v>完成态能自然衔接下一步</x:v>
      </x:c>
      <x:c r="F151" s="21" t="str">
        <x:v>奖励弹窗关闭后新目标可见，避免玩家停在无内容页面</x:v>
      </x:c>
      <x:c r="G151" s="21" t="str">
        <x:v>每类目标完成后观察</x:v>
      </x:c>
      <x:c r="H151" s="21" t="str">
        <x:v>理解/操作</x:v>
      </x:c>
      <x:c r="I151" s="21" t="str">
        <x:v>全流程</x:v>
      </x:c>
      <x:c r="J151" s="21" t="str">
        <x:v>全平台</x:v>
      </x:c>
      <x:c r="K151" s="21" t="str"/>
      <x:c r="L151" s="29" t="str">
        <x:v>未检查</x:v>
      </x:c>
      <x:c r="M151" s="29" t="str">
        <x:v>未确认</x:v>
      </x:c>
      <x:c r="N151" s="29" t="str">
        <x:v>未确认</x:v>
      </x:c>
      <x:c r="O151" s="29" t="str"/>
      <x:c r="P151" s="29" t="str">
        <x:f>IF(OR(L151="未检查",L151="通过",L151="不适用"),"",IFERROR(VLOOKUP(M151,'口径与下拉'!$A$9:$B$14,2,FALSE),0)+IFERROR(VLOOKUP(N151,'口径与下拉'!$D$9:$E$14,2,FALSE),0)+O151)</x:f>
      </x:c>
      <x:c r="Q151" s="29" t="str"/>
      <x:c r="R151" s="29" t="str">
        <x:f>IF(P151="","",IF(P151&gt;=13,"P0",IF(P151&gt;=10,"P1",IF(P151&gt;=7,"P2","P3"))))</x:f>
      </x:c>
      <x:c r="S151" s="21" t="str"/>
      <x:c r="T151" s="21" t="str"/>
      <x:c r="U151" s="21" t="str"/>
      <x:c r="V151" s="31" t="str"/>
      <x:c r="W151" s="21" t="str"/>
      <x:c r="X151" s="21" t="str">
        <x:v>未复测</x:v>
      </x:c>
      <x:c r="Y151" s="21" t="str"/>
    </x:row>
    <x:row r="152" ht="52" customHeight="1">
      <x:c r="A152" s="27" t="str">
        <x:v>UX-148</x:v>
      </x:c>
      <x:c r="B152" s="23" t="str">
        <x:v>11 当前目标、订单与素材来源</x:v>
      </x:c>
      <x:c r="C152" s="23" t="str">
        <x:v>目标驱动</x:v>
      </x:c>
      <x:c r="D152" s="23" t="str">
        <x:v>目标栏/医馆五槽/订单</x:v>
      </x:c>
      <x:c r="E152" s="21" t="str">
        <x:v>目标栏不会遮挡操作</x:v>
      </x:c>
      <x:c r="F152" s="21" t="str">
        <x:v>不同屏幕、键盘、弹窗与庭院漫游时保持可见且不挡热区</x:v>
      </x:c>
      <x:c r="G152" s="21" t="str">
        <x:v>5 档视口操作</x:v>
      </x:c>
      <x:c r="H152" s="21" t="str">
        <x:v>适配/操作</x:v>
      </x:c>
      <x:c r="I152" s="21" t="str">
        <x:v>全流程</x:v>
      </x:c>
      <x:c r="J152" s="21" t="str">
        <x:v>全平台</x:v>
      </x:c>
      <x:c r="K152" s="21" t="str"/>
      <x:c r="L152" s="29" t="str">
        <x:v>未检查</x:v>
      </x:c>
      <x:c r="M152" s="29" t="str">
        <x:v>未确认</x:v>
      </x:c>
      <x:c r="N152" s="29" t="str">
        <x:v>未确认</x:v>
      </x:c>
      <x:c r="O152" s="29" t="str"/>
      <x:c r="P152" s="29" t="str">
        <x:f>IF(OR(L152="未检查",L152="通过",L152="不适用"),"",IFERROR(VLOOKUP(M152,'口径与下拉'!$A$9:$B$14,2,FALSE),0)+IFERROR(VLOOKUP(N152,'口径与下拉'!$D$9:$E$14,2,FALSE),0)+O152)</x:f>
      </x:c>
      <x:c r="Q152" s="29" t="str"/>
      <x:c r="R152" s="29" t="str">
        <x:f>IF(P152="","",IF(P152&gt;=13,"P0",IF(P152&gt;=10,"P1",IF(P152&gt;=7,"P2","P3"))))</x:f>
      </x:c>
      <x:c r="S152" s="21" t="str"/>
      <x:c r="T152" s="21" t="str"/>
      <x:c r="U152" s="21" t="str"/>
      <x:c r="V152" s="31" t="str"/>
      <x:c r="W152" s="21" t="str"/>
      <x:c r="X152" s="21" t="str">
        <x:v>未复测</x:v>
      </x:c>
      <x:c r="Y152" s="21" t="str"/>
    </x:row>
    <x:row r="153" ht="52" customHeight="1">
      <x:c r="A153" s="27" t="str">
        <x:v>UX-149</x:v>
      </x:c>
      <x:c r="B153" s="23" t="str">
        <x:v>12 宗门舆图、区域与设施</x:v>
      </x:c>
      <x:c r="C153" s="23" t="str">
        <x:v>修缮成长</x:v>
      </x:c>
      <x:c r="D153" s="23" t="str">
        <x:v>舆图/修缮/升级</x:v>
      </x:c>
      <x:c r="E153" s="21" t="str">
        <x:v>14 个区域数量与卷章归属准确</x:v>
      </x:c>
      <x:c r="F153" s="21" t="str">
        <x:v>地图、数据、旅程和解锁弹窗一致</x:v>
      </x:c>
      <x:c r="G153" s="21" t="str">
        <x:v>区域清单逐项对照</x:v>
      </x:c>
      <x:c r="H153" s="21" t="str">
        <x:v>内容/数据</x:v>
      </x:c>
      <x:c r="I153" s="21" t="str">
        <x:v>全流程</x:v>
      </x:c>
      <x:c r="J153" s="21" t="str">
        <x:v>全平台</x:v>
      </x:c>
      <x:c r="K153" s="21" t="str"/>
      <x:c r="L153" s="29" t="str">
        <x:v>未检查</x:v>
      </x:c>
      <x:c r="M153" s="29" t="str">
        <x:v>未确认</x:v>
      </x:c>
      <x:c r="N153" s="29" t="str">
        <x:v>未确认</x:v>
      </x:c>
      <x:c r="O153" s="29" t="str"/>
      <x:c r="P153" s="29" t="str">
        <x:f>IF(OR(L153="未检查",L153="通过",L153="不适用"),"",IFERROR(VLOOKUP(M153,'口径与下拉'!$A$9:$B$14,2,FALSE),0)+IFERROR(VLOOKUP(N153,'口径与下拉'!$D$9:$E$14,2,FALSE),0)+O153)</x:f>
      </x:c>
      <x:c r="Q153" s="29" t="str"/>
      <x:c r="R153" s="29" t="str">
        <x:f>IF(P153="","",IF(P153&gt;=13,"P0",IF(P153&gt;=10,"P1",IF(P153&gt;=7,"P2","P3"))))</x:f>
      </x:c>
      <x:c r="S153" s="21" t="str"/>
      <x:c r="T153" s="21" t="str"/>
      <x:c r="U153" s="21" t="str"/>
      <x:c r="V153" s="31" t="str"/>
      <x:c r="W153" s="21" t="str"/>
      <x:c r="X153" s="21" t="str">
        <x:v>未复测</x:v>
      </x:c>
      <x:c r="Y153" s="21" t="str"/>
    </x:row>
    <x:row r="154" ht="52" customHeight="1">
      <x:c r="A154" s="27" t="str">
        <x:v>UX-150</x:v>
      </x:c>
      <x:c r="B154" s="23" t="str">
        <x:v>12 宗门舆图、区域与设施</x:v>
      </x:c>
      <x:c r="C154" s="23" t="str">
        <x:v>修缮成长</x:v>
      </x:c>
      <x:c r="D154" s="23" t="str">
        <x:v>舆图/修缮/升级</x:v>
      </x:c>
      <x:c r="E154" s="21" t="str">
        <x:v>区域锁定原因明确</x:v>
      </x:c>
      <x:c r="F154" s="21" t="str">
        <x:v>显示前置卷章、修缮或资源，不只展示锁图标</x:v>
      </x:c>
      <x:c r="G154" s="21" t="str">
        <x:v>新档逐区点击</x:v>
      </x:c>
      <x:c r="H154" s="21" t="str">
        <x:v>理解/操作</x:v>
      </x:c>
      <x:c r="I154" s="21" t="str">
        <x:v>全流程</x:v>
      </x:c>
      <x:c r="J154" s="21" t="str">
        <x:v>全平台</x:v>
      </x:c>
      <x:c r="K154" s="21" t="str"/>
      <x:c r="L154" s="29" t="str">
        <x:v>未检查</x:v>
      </x:c>
      <x:c r="M154" s="29" t="str">
        <x:v>未确认</x:v>
      </x:c>
      <x:c r="N154" s="29" t="str">
        <x:v>未确认</x:v>
      </x:c>
      <x:c r="O154" s="29" t="str"/>
      <x:c r="P154" s="29" t="str">
        <x:f>IF(OR(L154="未检查",L154="通过",L154="不适用"),"",IFERROR(VLOOKUP(M154,'口径与下拉'!$A$9:$B$14,2,FALSE),0)+IFERROR(VLOOKUP(N154,'口径与下拉'!$D$9:$E$14,2,FALSE),0)+O154)</x:f>
      </x:c>
      <x:c r="Q154" s="29" t="str"/>
      <x:c r="R154" s="29" t="str">
        <x:f>IF(P154="","",IF(P154&gt;=13,"P0",IF(P154&gt;=10,"P1",IF(P154&gt;=7,"P2","P3"))))</x:f>
      </x:c>
      <x:c r="S154" s="21" t="str"/>
      <x:c r="T154" s="21" t="str"/>
      <x:c r="U154" s="21" t="str"/>
      <x:c r="V154" s="31" t="str"/>
      <x:c r="W154" s="21" t="str"/>
      <x:c r="X154" s="21" t="str">
        <x:v>未复测</x:v>
      </x:c>
      <x:c r="Y154" s="21" t="str"/>
    </x:row>
    <x:row r="155" ht="52" customHeight="1">
      <x:c r="A155" s="27" t="str">
        <x:v>UX-151</x:v>
      </x:c>
      <x:c r="B155" s="23" t="str">
        <x:v>12 宗门舆图、区域与设施</x:v>
      </x:c>
      <x:c r="C155" s="23" t="str">
        <x:v>修缮成长</x:v>
      </x:c>
      <x:c r="D155" s="23" t="str">
        <x:v>舆图/修缮/升级</x:v>
      </x:c>
      <x:c r="E155" s="21" t="str">
        <x:v>卷一修缮从 0/6 开始</x:v>
      </x:c>
      <x:c r="F155" s="21" t="str">
        <x:v>山门、医馆总进度与步骤均正确</x:v>
      </x:c>
      <x:c r="G155" s="21" t="str">
        <x:v>新档推进核对</x:v>
      </x:c>
      <x:c r="H155" s="21" t="str">
        <x:v>数值/进度</x:v>
      </x:c>
      <x:c r="I155" s="21" t="str">
        <x:v>全流程</x:v>
      </x:c>
      <x:c r="J155" s="21" t="str">
        <x:v>全平台</x:v>
      </x:c>
      <x:c r="K155" s="21" t="str"/>
      <x:c r="L155" s="29" t="str">
        <x:v>未检查</x:v>
      </x:c>
      <x:c r="M155" s="29" t="str">
        <x:v>未确认</x:v>
      </x:c>
      <x:c r="N155" s="29" t="str">
        <x:v>未确认</x:v>
      </x:c>
      <x:c r="O155" s="29" t="str"/>
      <x:c r="P155" s="29" t="str">
        <x:f>IF(OR(L155="未检查",L155="通过",L155="不适用"),"",IFERROR(VLOOKUP(M155,'口径与下拉'!$A$9:$B$14,2,FALSE),0)+IFERROR(VLOOKUP(N155,'口径与下拉'!$D$9:$E$14,2,FALSE),0)+O155)</x:f>
      </x:c>
      <x:c r="Q155" s="29" t="str"/>
      <x:c r="R155" s="29" t="str">
        <x:f>IF(P155="","",IF(P155&gt;=13,"P0",IF(P155&gt;=10,"P1",IF(P155&gt;=7,"P2","P3"))))</x:f>
      </x:c>
      <x:c r="S155" s="21" t="str"/>
      <x:c r="T155" s="21" t="str"/>
      <x:c r="U155" s="21" t="str"/>
      <x:c r="V155" s="31" t="str"/>
      <x:c r="W155" s="21" t="str"/>
      <x:c r="X155" s="21" t="str">
        <x:v>未复测</x:v>
      </x:c>
      <x:c r="Y155" s="21" t="str"/>
    </x:row>
    <x:row r="156" ht="52" customHeight="1">
      <x:c r="A156" s="27" t="str">
        <x:v>UX-152</x:v>
      </x:c>
      <x:c r="B156" s="23" t="str">
        <x:v>12 宗门舆图、区域与设施</x:v>
      </x:c>
      <x:c r="C156" s="23" t="str">
        <x:v>修缮成长</x:v>
      </x:c>
      <x:c r="D156" s="23" t="str">
        <x:v>舆图/修缮/升级</x:v>
      </x:c>
      <x:c r="E156" s="21" t="str">
        <x:v>卷二四区从 0/12 开始</x:v>
      </x:c>
      <x:c r="F156" s="21" t="str">
        <x:v>四个区域各三段，总数与显示一致</x:v>
      </x:c>
      <x:c r="G156" s="21" t="str">
        <x:v>卷二状态构造</x:v>
      </x:c>
      <x:c r="H156" s="21" t="str">
        <x:v>理解/操作</x:v>
      </x:c>
      <x:c r="I156" s="21" t="str">
        <x:v>全流程</x:v>
      </x:c>
      <x:c r="J156" s="21" t="str">
        <x:v>全平台</x:v>
      </x:c>
      <x:c r="K156" s="21" t="str"/>
      <x:c r="L156" s="29" t="str">
        <x:v>未检查</x:v>
      </x:c>
      <x:c r="M156" s="29" t="str">
        <x:v>未确认</x:v>
      </x:c>
      <x:c r="N156" s="29" t="str">
        <x:v>未确认</x:v>
      </x:c>
      <x:c r="O156" s="29" t="str"/>
      <x:c r="P156" s="29" t="str">
        <x:f>IF(OR(L156="未检查",L156="通过",L156="不适用"),"",IFERROR(VLOOKUP(M156,'口径与下拉'!$A$9:$B$14,2,FALSE),0)+IFERROR(VLOOKUP(N156,'口径与下拉'!$D$9:$E$14,2,FALSE),0)+O156)</x:f>
      </x:c>
      <x:c r="Q156" s="29" t="str"/>
      <x:c r="R156" s="29" t="str">
        <x:f>IF(P156="","",IF(P156&gt;=13,"P0",IF(P156&gt;=10,"P1",IF(P156&gt;=7,"P2","P3"))))</x:f>
      </x:c>
      <x:c r="S156" s="21" t="str"/>
      <x:c r="T156" s="21" t="str"/>
      <x:c r="U156" s="21" t="str"/>
      <x:c r="V156" s="31" t="str"/>
      <x:c r="W156" s="21" t="str"/>
      <x:c r="X156" s="21" t="str">
        <x:v>未复测</x:v>
      </x:c>
      <x:c r="Y156" s="21" t="str"/>
    </x:row>
    <x:row r="157" ht="52" customHeight="1">
      <x:c r="A157" s="27" t="str">
        <x:v>UX-153</x:v>
      </x:c>
      <x:c r="B157" s="23" t="str">
        <x:v>12 宗门舆图、区域与设施</x:v>
      </x:c>
      <x:c r="C157" s="23" t="str">
        <x:v>修缮成长</x:v>
      </x:c>
      <x:c r="D157" s="23" t="str">
        <x:v>舆图/修缮/升级</x:v>
      </x:c>
      <x:c r="E157" s="21" t="str">
        <x:v>其他有区域卷每区三段</x:v>
      </x:c>
      <x:c r="F157" s="21" t="str">
        <x:v>进度、资源消耗、阶段图和完成判定同步</x:v>
      </x:c>
      <x:c r="G157" s="21" t="str">
        <x:v>代表性卷章边界测试</x:v>
      </x:c>
      <x:c r="H157" s="21" t="str">
        <x:v>理解/操作</x:v>
      </x:c>
      <x:c r="I157" s="21" t="str">
        <x:v>全流程</x:v>
      </x:c>
      <x:c r="J157" s="21" t="str">
        <x:v>全平台</x:v>
      </x:c>
      <x:c r="K157" s="21" t="str"/>
      <x:c r="L157" s="29" t="str">
        <x:v>未检查</x:v>
      </x:c>
      <x:c r="M157" s="29" t="str">
        <x:v>未确认</x:v>
      </x:c>
      <x:c r="N157" s="29" t="str">
        <x:v>未确认</x:v>
      </x:c>
      <x:c r="O157" s="29" t="str"/>
      <x:c r="P157" s="29" t="str">
        <x:f>IF(OR(L157="未检查",L157="通过",L157="不适用"),"",IFERROR(VLOOKUP(M157,'口径与下拉'!$A$9:$B$14,2,FALSE),0)+IFERROR(VLOOKUP(N157,'口径与下拉'!$D$9:$E$14,2,FALSE),0)+O157)</x:f>
      </x:c>
      <x:c r="Q157" s="29" t="str"/>
      <x:c r="R157" s="29" t="str">
        <x:f>IF(P157="","",IF(P157&gt;=13,"P0",IF(P157&gt;=10,"P1",IF(P157&gt;=7,"P2","P3"))))</x:f>
      </x:c>
      <x:c r="S157" s="21" t="str"/>
      <x:c r="T157" s="21" t="str"/>
      <x:c r="U157" s="21" t="str"/>
      <x:c r="V157" s="31" t="str"/>
      <x:c r="W157" s="21" t="str"/>
      <x:c r="X157" s="21" t="str">
        <x:v>未复测</x:v>
      </x:c>
      <x:c r="Y157" s="21" t="str"/>
    </x:row>
    <x:row r="158" ht="52" customHeight="1">
      <x:c r="A158" s="27" t="str">
        <x:v>UX-154</x:v>
      </x:c>
      <x:c r="B158" s="23" t="str">
        <x:v>12 宗门舆图、区域与设施</x:v>
      </x:c>
      <x:c r="C158" s="23" t="str">
        <x:v>修缮成长</x:v>
      </x:c>
      <x:c r="D158" s="23" t="str">
        <x:v>舆图/修缮/升级</x:v>
      </x:c>
      <x:c r="E158" s="21" t="str">
        <x:v>无区域卷自动满足修缮</x:v>
      </x:c>
      <x:c r="F158" s="21" t="str">
        <x:v>不显示虚假 0/9，不阻断故事或照料</x:v>
      </x:c>
      <x:c r="G158" s="21" t="str">
        <x:v>所有无区域卷测试</x:v>
      </x:c>
      <x:c r="H158" s="21" t="str">
        <x:v>理解/防软锁</x:v>
      </x:c>
      <x:c r="I158" s="21" t="str">
        <x:v>全流程</x:v>
      </x:c>
      <x:c r="J158" s="21" t="str">
        <x:v>全平台</x:v>
      </x:c>
      <x:c r="K158" s="21" t="str"/>
      <x:c r="L158" s="29" t="str">
        <x:v>未检查</x:v>
      </x:c>
      <x:c r="M158" s="29" t="str">
        <x:v>未确认</x:v>
      </x:c>
      <x:c r="N158" s="29" t="str">
        <x:v>未确认</x:v>
      </x:c>
      <x:c r="O158" s="29" t="str"/>
      <x:c r="P158" s="29" t="str">
        <x:f>IF(OR(L158="未检查",L158="通过",L158="不适用"),"",IFERROR(VLOOKUP(M158,'口径与下拉'!$A$9:$B$14,2,FALSE),0)+IFERROR(VLOOKUP(N158,'口径与下拉'!$D$9:$E$14,2,FALSE),0)+O158)</x:f>
      </x:c>
      <x:c r="Q158" s="29" t="str"/>
      <x:c r="R158" s="29" t="str">
        <x:f>IF(P158="","",IF(P158&gt;=13,"P0",IF(P158&gt;=10,"P1",IF(P158&gt;=7,"P2","P3"))))</x:f>
      </x:c>
      <x:c r="S158" s="21" t="str"/>
      <x:c r="T158" s="21" t="str"/>
      <x:c r="U158" s="21" t="str"/>
      <x:c r="V158" s="31" t="str"/>
      <x:c r="W158" s="21" t="str"/>
      <x:c r="X158" s="21" t="str">
        <x:v>未复测</x:v>
      </x:c>
      <x:c r="Y158" s="21" t="str"/>
    </x:row>
    <x:row r="159" ht="52" customHeight="1">
      <x:c r="A159" s="27" t="str">
        <x:v>UX-155</x:v>
      </x:c>
      <x:c r="B159" s="23" t="str">
        <x:v>12 宗门舆图、区域与设施</x:v>
      </x:c>
      <x:c r="C159" s="23" t="str">
        <x:v>修缮成长</x:v>
      </x:c>
      <x:c r="D159" s="23" t="str">
        <x:v>舆图/修缮/升级</x:v>
      </x:c>
      <x:c r="E159" s="21" t="str">
        <x:v>阶段图与真实进度同步</x:v>
      </x:c>
      <x:c r="F159" s="21" t="str">
        <x:v>破败/清扫/修缮/焕新不提前或滞后</x:v>
      </x:c>
      <x:c r="G159" s="21" t="str">
        <x:v>修改状态逐阶段截图</x:v>
      </x:c>
      <x:c r="H159" s="21" t="str">
        <x:v>成长/美术</x:v>
      </x:c>
      <x:c r="I159" s="21" t="str">
        <x:v>全流程</x:v>
      </x:c>
      <x:c r="J159" s="21" t="str">
        <x:v>全平台</x:v>
      </x:c>
      <x:c r="K159" s="21" t="str"/>
      <x:c r="L159" s="29" t="str">
        <x:v>未检查</x:v>
      </x:c>
      <x:c r="M159" s="29" t="str">
        <x:v>未确认</x:v>
      </x:c>
      <x:c r="N159" s="29" t="str">
        <x:v>未确认</x:v>
      </x:c>
      <x:c r="O159" s="29" t="str"/>
      <x:c r="P159" s="29" t="str">
        <x:f>IF(OR(L159="未检查",L159="通过",L159="不适用"),"",IFERROR(VLOOKUP(M159,'口径与下拉'!$A$9:$B$14,2,FALSE),0)+IFERROR(VLOOKUP(N159,'口径与下拉'!$D$9:$E$14,2,FALSE),0)+O159)</x:f>
      </x:c>
      <x:c r="Q159" s="29" t="str"/>
      <x:c r="R159" s="29" t="str">
        <x:f>IF(P159="","",IF(P159&gt;=13,"P0",IF(P159&gt;=10,"P1",IF(P159&gt;=7,"P2","P3"))))</x:f>
      </x:c>
      <x:c r="S159" s="21" t="str"/>
      <x:c r="T159" s="21" t="str"/>
      <x:c r="U159" s="21" t="str"/>
      <x:c r="V159" s="31" t="str"/>
      <x:c r="W159" s="21" t="str"/>
      <x:c r="X159" s="21" t="str">
        <x:v>未复测</x:v>
      </x:c>
      <x:c r="Y159" s="21" t="str"/>
    </x:row>
    <x:row r="160" ht="52" customHeight="1">
      <x:c r="A160" s="27" t="str">
        <x:v>UX-156</x:v>
      </x:c>
      <x:c r="B160" s="23" t="str">
        <x:v>12 宗门舆图、区域与设施</x:v>
      </x:c>
      <x:c r="C160" s="23" t="str">
        <x:v>修缮成长</x:v>
      </x:c>
      <x:c r="D160" s="23" t="str">
        <x:v>舆图/修缮/升级</x:v>
      </x:c>
      <x:c r="E160" s="21" t="str">
        <x:v>修缮成本与来源可查</x:v>
      </x:c>
      <x:c r="F160" s="21" t="str">
        <x:v>消耗前展示材料/暖玉；不足可直接查来源</x:v>
      </x:c>
      <x:c r="G160" s="21" t="str">
        <x:v>不足、刚好、满额测试</x:v>
      </x:c>
      <x:c r="H160" s="21" t="str">
        <x:v>理解/操作</x:v>
      </x:c>
      <x:c r="I160" s="21" t="str">
        <x:v>全流程</x:v>
      </x:c>
      <x:c r="J160" s="21" t="str">
        <x:v>全平台</x:v>
      </x:c>
      <x:c r="K160" s="21" t="str"/>
      <x:c r="L160" s="29" t="str">
        <x:v>未检查</x:v>
      </x:c>
      <x:c r="M160" s="29" t="str">
        <x:v>未确认</x:v>
      </x:c>
      <x:c r="N160" s="29" t="str">
        <x:v>未确认</x:v>
      </x:c>
      <x:c r="O160" s="29" t="str"/>
      <x:c r="P160" s="29" t="str">
        <x:f>IF(OR(L160="未检查",L160="通过",L160="不适用"),"",IFERROR(VLOOKUP(M160,'口径与下拉'!$A$9:$B$14,2,FALSE),0)+IFERROR(VLOOKUP(N160,'口径与下拉'!$D$9:$E$14,2,FALSE),0)+O160)</x:f>
      </x:c>
      <x:c r="Q160" s="29" t="str"/>
      <x:c r="R160" s="29" t="str">
        <x:f>IF(P160="","",IF(P160&gt;=13,"P0",IF(P160&gt;=10,"P1",IF(P160&gt;=7,"P2","P3"))))</x:f>
      </x:c>
      <x:c r="S160" s="21" t="str"/>
      <x:c r="T160" s="21" t="str"/>
      <x:c r="U160" s="21" t="str"/>
      <x:c r="V160" s="31" t="str"/>
      <x:c r="W160" s="21" t="str"/>
      <x:c r="X160" s="21" t="str">
        <x:v>未复测</x:v>
      </x:c>
      <x:c r="Y160" s="21" t="str"/>
    </x:row>
    <x:row r="161" ht="52" customHeight="1">
      <x:c r="A161" s="27" t="str">
        <x:v>UX-157</x:v>
      </x:c>
      <x:c r="B161" s="23" t="str">
        <x:v>12 宗门舆图、区域与设施</x:v>
      </x:c>
      <x:c r="C161" s="23" t="str">
        <x:v>修缮成长</x:v>
      </x:c>
      <x:c r="D161" s="23" t="str">
        <x:v>舆图/修缮/升级</x:v>
      </x:c>
      <x:c r="E161" s="21" t="str">
        <x:v>修缮结算原子化</x:v>
      </x:c>
      <x:c r="F161" s="21" t="str">
        <x:v>连点、刷新、故障不会多扣、重复完成或跳阶段</x:v>
      </x:c>
      <x:c r="G161" s="21" t="str">
        <x:v>并发/重载测试</x:v>
      </x:c>
      <x:c r="H161" s="21" t="str">
        <x:v>数据/信任</x:v>
      </x:c>
      <x:c r="I161" s="21" t="str">
        <x:v>全流程</x:v>
      </x:c>
      <x:c r="J161" s="21" t="str">
        <x:v>全平台</x:v>
      </x:c>
      <x:c r="K161" s="21" t="str"/>
      <x:c r="L161" s="29" t="str">
        <x:v>未检查</x:v>
      </x:c>
      <x:c r="M161" s="29" t="str">
        <x:v>未确认</x:v>
      </x:c>
      <x:c r="N161" s="29" t="str">
        <x:v>未确认</x:v>
      </x:c>
      <x:c r="O161" s="29" t="str"/>
      <x:c r="P161" s="29" t="str">
        <x:f>IF(OR(L161="未检查",L161="通过",L161="不适用"),"",IFERROR(VLOOKUP(M161,'口径与下拉'!$A$9:$B$14,2,FALSE),0)+IFERROR(VLOOKUP(N161,'口径与下拉'!$D$9:$E$14,2,FALSE),0)+O161)</x:f>
      </x:c>
      <x:c r="Q161" s="29" t="str"/>
      <x:c r="R161" s="29" t="str">
        <x:f>IF(P161="","",IF(P161&gt;=13,"P0",IF(P161&gt;=10,"P1",IF(P161&gt;=7,"P2","P3"))))</x:f>
      </x:c>
      <x:c r="S161" s="21" t="str"/>
      <x:c r="T161" s="21" t="str"/>
      <x:c r="U161" s="21" t="str"/>
      <x:c r="V161" s="31" t="str"/>
      <x:c r="W161" s="21" t="str"/>
      <x:c r="X161" s="21" t="str">
        <x:v>未复测</x:v>
      </x:c>
      <x:c r="Y161" s="21" t="str"/>
    </x:row>
    <x:row r="162" ht="52" customHeight="1">
      <x:c r="A162" s="27" t="str">
        <x:v>UX-158</x:v>
      </x:c>
      <x:c r="B162" s="23" t="str">
        <x:v>12 宗门舆图、区域与设施</x:v>
      </x:c>
      <x:c r="C162" s="23" t="str">
        <x:v>修缮成长</x:v>
      </x:c>
      <x:c r="D162" s="23" t="str">
        <x:v>舆图/修缮/升级</x:v>
      </x:c>
      <x:c r="E162" s="21" t="str">
        <x:v>区域解锁演出后可立即进入</x:v>
      </x:c>
      <x:c r="F162" s="21" t="str">
        <x:v>按钮、地图热区与目标同步启用，无需二次刷新</x:v>
      </x:c>
      <x:c r="G162" s="21" t="str">
        <x:v>解锁节点验证</x:v>
      </x:c>
      <x:c r="H162" s="21" t="str">
        <x:v>理解/操作</x:v>
      </x:c>
      <x:c r="I162" s="21" t="str">
        <x:v>全流程</x:v>
      </x:c>
      <x:c r="J162" s="21" t="str">
        <x:v>全平台</x:v>
      </x:c>
      <x:c r="K162" s="21" t="str"/>
      <x:c r="L162" s="29" t="str">
        <x:v>未检查</x:v>
      </x:c>
      <x:c r="M162" s="29" t="str">
        <x:v>未确认</x:v>
      </x:c>
      <x:c r="N162" s="29" t="str">
        <x:v>未确认</x:v>
      </x:c>
      <x:c r="O162" s="29" t="str"/>
      <x:c r="P162" s="29" t="str">
        <x:f>IF(OR(L162="未检查",L162="通过",L162="不适用"),"",IFERROR(VLOOKUP(M162,'口径与下拉'!$A$9:$B$14,2,FALSE),0)+IFERROR(VLOOKUP(N162,'口径与下拉'!$D$9:$E$14,2,FALSE),0)+O162)</x:f>
      </x:c>
      <x:c r="Q162" s="29" t="str"/>
      <x:c r="R162" s="29" t="str">
        <x:f>IF(P162="","",IF(P162&gt;=13,"P0",IF(P162&gt;=10,"P1",IF(P162&gt;=7,"P2","P3"))))</x:f>
      </x:c>
      <x:c r="S162" s="21" t="str"/>
      <x:c r="T162" s="21" t="str"/>
      <x:c r="U162" s="21" t="str"/>
      <x:c r="V162" s="31" t="str"/>
      <x:c r="W162" s="21" t="str"/>
      <x:c r="X162" s="21" t="str">
        <x:v>未复测</x:v>
      </x:c>
      <x:c r="Y162" s="21" t="str"/>
    </x:row>
    <x:row r="163" ht="52" customHeight="1">
      <x:c r="A163" s="27" t="str">
        <x:v>UX-159</x:v>
      </x:c>
      <x:c r="B163" s="23" t="str">
        <x:v>12 宗门舆图、区域与设施</x:v>
      </x:c>
      <x:c r="C163" s="23" t="str">
        <x:v>修缮成长</x:v>
      </x:c>
      <x:c r="D163" s="23" t="str">
        <x:v>舆图/修缮/升级</x:v>
      </x:c>
      <x:c r="E163" s="21" t="str">
        <x:v>设施升级收益可理解</x:v>
      </x:c>
      <x:c r="F163" s="21" t="str">
        <x:v>升级前后效果、等级、成本和实际产出一致</x:v>
      </x:c>
      <x:c r="G163" s="21" t="str">
        <x:v>设施逐级对比</x:v>
      </x:c>
      <x:c r="H163" s="21" t="str">
        <x:v>经济/成长</x:v>
      </x:c>
      <x:c r="I163" s="21" t="str">
        <x:v>全流程</x:v>
      </x:c>
      <x:c r="J163" s="21" t="str">
        <x:v>全平台</x:v>
      </x:c>
      <x:c r="K163" s="21" t="str"/>
      <x:c r="L163" s="29" t="str">
        <x:v>未检查</x:v>
      </x:c>
      <x:c r="M163" s="29" t="str">
        <x:v>未确认</x:v>
      </x:c>
      <x:c r="N163" s="29" t="str">
        <x:v>未确认</x:v>
      </x:c>
      <x:c r="O163" s="29" t="str"/>
      <x:c r="P163" s="29" t="str">
        <x:f>IF(OR(L163="未检查",L163="通过",L163="不适用"),"",IFERROR(VLOOKUP(M163,'口径与下拉'!$A$9:$B$14,2,FALSE),0)+IFERROR(VLOOKUP(N163,'口径与下拉'!$D$9:$E$14,2,FALSE),0)+O163)</x:f>
      </x:c>
      <x:c r="Q163" s="29" t="str"/>
      <x:c r="R163" s="29" t="str">
        <x:f>IF(P163="","",IF(P163&gt;=13,"P0",IF(P163&gt;=10,"P1",IF(P163&gt;=7,"P2","P3"))))</x:f>
      </x:c>
      <x:c r="S163" s="21" t="str"/>
      <x:c r="T163" s="21" t="str"/>
      <x:c r="U163" s="21" t="str"/>
      <x:c r="V163" s="31" t="str"/>
      <x:c r="W163" s="21" t="str"/>
      <x:c r="X163" s="21" t="str">
        <x:v>未复测</x:v>
      </x:c>
      <x:c r="Y163" s="21" t="str"/>
    </x:row>
    <x:row r="164" ht="52" customHeight="1">
      <x:c r="A164" s="27" t="str">
        <x:v>UX-160</x:v>
      </x:c>
      <x:c r="B164" s="23" t="str">
        <x:v>12 宗门舆图、区域与设施</x:v>
      </x:c>
      <x:c r="C164" s="23" t="str">
        <x:v>修缮成长</x:v>
      </x:c>
      <x:c r="D164" s="23" t="str">
        <x:v>舆图/修缮/升级</x:v>
      </x:c>
      <x:c r="E164" s="21" t="str">
        <x:v>地图热区与建筑图形对齐</x:v>
      </x:c>
      <x:c r="F164" s="21" t="str">
        <x:v>点击建筑可稳定进入对应主操作，不被装饰层遮挡</x:v>
      </x:c>
      <x:c r="G164" s="21" t="str">
        <x:v>逐建筑点击边缘/中心</x:v>
      </x:c>
      <x:c r="H164" s="21" t="str">
        <x:v>操作/适配</x:v>
      </x:c>
      <x:c r="I164" s="21" t="str">
        <x:v>全流程</x:v>
      </x:c>
      <x:c r="J164" s="21" t="str">
        <x:v>全平台</x:v>
      </x:c>
      <x:c r="K164" s="21" t="str"/>
      <x:c r="L164" s="29" t="str">
        <x:v>未检查</x:v>
      </x:c>
      <x:c r="M164" s="29" t="str">
        <x:v>未确认</x:v>
      </x:c>
      <x:c r="N164" s="29" t="str">
        <x:v>未确认</x:v>
      </x:c>
      <x:c r="O164" s="29" t="str"/>
      <x:c r="P164" s="29" t="str">
        <x:f>IF(OR(L164="未检查",L164="通过",L164="不适用"),"",IFERROR(VLOOKUP(M164,'口径与下拉'!$A$9:$B$14,2,FALSE),0)+IFERROR(VLOOKUP(N164,'口径与下拉'!$D$9:$E$14,2,FALSE),0)+O164)</x:f>
      </x:c>
      <x:c r="Q164" s="29" t="str"/>
      <x:c r="R164" s="29" t="str">
        <x:f>IF(P164="","",IF(P164&gt;=13,"P0",IF(P164&gt;=10,"P1",IF(P164&gt;=7,"P2","P3"))))</x:f>
      </x:c>
      <x:c r="S164" s="21" t="str"/>
      <x:c r="T164" s="21" t="str"/>
      <x:c r="U164" s="21" t="str"/>
      <x:c r="V164" s="31" t="str"/>
      <x:c r="W164" s="21" t="str"/>
      <x:c r="X164" s="21" t="str">
        <x:v>未复测</x:v>
      </x:c>
      <x:c r="Y164" s="21" t="str"/>
    </x:row>
    <x:row r="165" ht="52" customHeight="1">
      <x:c r="A165" s="27" t="str">
        <x:v>UX-161</x:v>
      </x:c>
      <x:c r="B165" s="23" t="str">
        <x:v>13 神兽照料、疗愈、蜕变与岗位</x:v>
      </x:c>
      <x:c r="C165" s="23" t="str">
        <x:v>陪伴成长</x:v>
      </x:c>
      <x:c r="D165" s="23" t="str">
        <x:v>穷奇照料/归灯/岗位</x:v>
      </x:c>
      <x:c r="E165" s="21" t="str">
        <x:v>12 兽数据与前台一致</x:v>
      </x:c>
      <x:c r="F165" s="21" t="str">
        <x:v>名单、卷章、图鉴、岗位和形态无缺失/重复/串兽</x:v>
      </x:c>
      <x:c r="G165" s="21" t="str">
        <x:v>数据表与所有入口对照</x:v>
      </x:c>
      <x:c r="H165" s="21" t="str">
        <x:v>内容/数据</x:v>
      </x:c>
      <x:c r="I165" s="21" t="str">
        <x:v>全流程</x:v>
      </x:c>
      <x:c r="J165" s="21" t="str">
        <x:v>全平台</x:v>
      </x:c>
      <x:c r="K165" s="21" t="str"/>
      <x:c r="L165" s="29" t="str">
        <x:v>未检查</x:v>
      </x:c>
      <x:c r="M165" s="29" t="str">
        <x:v>未确认</x:v>
      </x:c>
      <x:c r="N165" s="29" t="str">
        <x:v>未确认</x:v>
      </x:c>
      <x:c r="O165" s="29" t="str"/>
      <x:c r="P165" s="29" t="str">
        <x:f>IF(OR(L165="未检查",L165="通过",L165="不适用"),"",IFERROR(VLOOKUP(M165,'口径与下拉'!$A$9:$B$14,2,FALSE),0)+IFERROR(VLOOKUP(N165,'口径与下拉'!$D$9:$E$14,2,FALSE),0)+O165)</x:f>
      </x:c>
      <x:c r="Q165" s="29" t="str"/>
      <x:c r="R165" s="29" t="str">
        <x:f>IF(P165="","",IF(P165&gt;=13,"P0",IF(P165&gt;=10,"P1",IF(P165&gt;=7,"P2","P3"))))</x:f>
      </x:c>
      <x:c r="S165" s="21" t="str"/>
      <x:c r="T165" s="21" t="str"/>
      <x:c r="U165" s="21" t="str"/>
      <x:c r="V165" s="31" t="str"/>
      <x:c r="W165" s="21" t="str"/>
      <x:c r="X165" s="21" t="str">
        <x:v>未复测</x:v>
      </x:c>
      <x:c r="Y165" s="21" t="str"/>
    </x:row>
    <x:row r="166" ht="52" customHeight="1">
      <x:c r="A166" s="27" t="str">
        <x:v>UX-162</x:v>
      </x:c>
      <x:c r="B166" s="23" t="str">
        <x:v>13 神兽照料、疗愈、蜕变与岗位</x:v>
      </x:c>
      <x:c r="C166" s="23" t="str">
        <x:v>陪伴成长</x:v>
      </x:c>
      <x:c r="D166" s="23" t="str">
        <x:v>穷奇照料/归灯/岗位</x:v>
      </x:c>
      <x:c r="E166" s="21" t="str">
        <x:v>每只神兽五形态顺序正确</x:v>
      </x:c>
      <x:c r="F166" s="21" t="str">
        <x:v>阶段推进只前进一次，形象、名称、属性同步</x:v>
      </x:c>
      <x:c r="G166" s="21" t="str">
        <x:v>逐兽阶段状态测试</x:v>
      </x:c>
      <x:c r="H166" s="21" t="str">
        <x:v>成长/数据</x:v>
      </x:c>
      <x:c r="I166" s="21" t="str">
        <x:v>全流程</x:v>
      </x:c>
      <x:c r="J166" s="21" t="str">
        <x:v>全平台</x:v>
      </x:c>
      <x:c r="K166" s="21" t="str"/>
      <x:c r="L166" s="29" t="str">
        <x:v>未检查</x:v>
      </x:c>
      <x:c r="M166" s="29" t="str">
        <x:v>未确认</x:v>
      </x:c>
      <x:c r="N166" s="29" t="str">
        <x:v>未确认</x:v>
      </x:c>
      <x:c r="O166" s="29" t="str"/>
      <x:c r="P166" s="29" t="str">
        <x:f>IF(OR(L166="未检查",L166="通过",L166="不适用"),"",IFERROR(VLOOKUP(M166,'口径与下拉'!$A$9:$B$14,2,FALSE),0)+IFERROR(VLOOKUP(N166,'口径与下拉'!$D$9:$E$14,2,FALSE),0)+O166)</x:f>
      </x:c>
      <x:c r="Q166" s="29" t="str"/>
      <x:c r="R166" s="29" t="str">
        <x:f>IF(P166="","",IF(P166&gt;=13,"P0",IF(P166&gt;=10,"P1",IF(P166&gt;=7,"P2","P3"))))</x:f>
      </x:c>
      <x:c r="S166" s="21" t="str"/>
      <x:c r="T166" s="21" t="str"/>
      <x:c r="U166" s="21" t="str"/>
      <x:c r="V166" s="31" t="str"/>
      <x:c r="W166" s="21" t="str"/>
      <x:c r="X166" s="21" t="str">
        <x:v>未复测</x:v>
      </x:c>
      <x:c r="Y166" s="21" t="str"/>
    </x:row>
    <x:row r="167" ht="52" customHeight="1">
      <x:c r="A167" s="27" t="str">
        <x:v>UX-163</x:v>
      </x:c>
      <x:c r="B167" s="23" t="str">
        <x:v>13 神兽照料、疗愈、蜕变与岗位</x:v>
      </x:c>
      <x:c r="C167" s="23" t="str">
        <x:v>陪伴成长</x:v>
      </x:c>
      <x:c r="D167" s="23" t="str">
        <x:v>穷奇照料/归灯/岗位</x:v>
      </x:c>
      <x:c r="E167" s="21" t="str">
        <x:v>照料动作与症状关联可理解</x:v>
      </x:c>
      <x:c r="F167" s="21" t="str">
        <x:v>喂食、清洁、梳毛、陪玩对当前需求有可读提示</x:v>
      </x:c>
      <x:c r="G167" s="21" t="str">
        <x:v>对症/非对症操作对比</x:v>
      </x:c>
      <x:c r="H167" s="21" t="str">
        <x:v>策略/理解</x:v>
      </x:c>
      <x:c r="I167" s="21" t="str">
        <x:v>全流程</x:v>
      </x:c>
      <x:c r="J167" s="21" t="str">
        <x:v>全平台</x:v>
      </x:c>
      <x:c r="K167" s="21" t="str"/>
      <x:c r="L167" s="29" t="str">
        <x:v>未检查</x:v>
      </x:c>
      <x:c r="M167" s="29" t="str">
        <x:v>未确认</x:v>
      </x:c>
      <x:c r="N167" s="29" t="str">
        <x:v>未确认</x:v>
      </x:c>
      <x:c r="O167" s="29" t="str"/>
      <x:c r="P167" s="29" t="str">
        <x:f>IF(OR(L167="未检查",L167="通过",L167="不适用"),"",IFERROR(VLOOKUP(M167,'口径与下拉'!$A$9:$B$14,2,FALSE),0)+IFERROR(VLOOKUP(N167,'口径与下拉'!$D$9:$E$14,2,FALSE),0)+O167)</x:f>
      </x:c>
      <x:c r="Q167" s="29" t="str"/>
      <x:c r="R167" s="29" t="str">
        <x:f>IF(P167="","",IF(P167&gt;=13,"P0",IF(P167&gt;=10,"P1",IF(P167&gt;=7,"P2","P3"))))</x:f>
      </x:c>
      <x:c r="S167" s="21" t="str"/>
      <x:c r="T167" s="21" t="str"/>
      <x:c r="U167" s="21" t="str"/>
      <x:c r="V167" s="31" t="str"/>
      <x:c r="W167" s="21" t="str"/>
      <x:c r="X167" s="21" t="str">
        <x:v>未复测</x:v>
      </x:c>
      <x:c r="Y167" s="21" t="str"/>
    </x:row>
    <x:row r="168" ht="52" customHeight="1">
      <x:c r="A168" s="27" t="str">
        <x:v>UX-164</x:v>
      </x:c>
      <x:c r="B168" s="23" t="str">
        <x:v>13 神兽照料、疗愈、蜕变与岗位</x:v>
      </x:c>
      <x:c r="C168" s="23" t="str">
        <x:v>陪伴成长</x:v>
      </x:c>
      <x:c r="D168" s="23" t="str">
        <x:v>穷奇照料/归灯/岗位</x:v>
      </x:c>
      <x:c r="E168" s="21" t="str">
        <x:v>所有合法照料都有正反馈</x:v>
      </x:c>
      <x:c r="F168" s="21" t="str">
        <x:v>不降低信任、不羞辱玩家；效率差异可说明但不惩罚</x:v>
      </x:c>
      <x:c r="G168" s="21" t="str">
        <x:v>遍历照料组合</x:v>
      </x:c>
      <x:c r="H168" s="21" t="str">
        <x:v>情绪/公平</x:v>
      </x:c>
      <x:c r="I168" s="21" t="str">
        <x:v>全流程</x:v>
      </x:c>
      <x:c r="J168" s="21" t="str">
        <x:v>全平台</x:v>
      </x:c>
      <x:c r="K168" s="21" t="str"/>
      <x:c r="L168" s="29" t="str">
        <x:v>未检查</x:v>
      </x:c>
      <x:c r="M168" s="29" t="str">
        <x:v>未确认</x:v>
      </x:c>
      <x:c r="N168" s="29" t="str">
        <x:v>未确认</x:v>
      </x:c>
      <x:c r="O168" s="29" t="str"/>
      <x:c r="P168" s="29" t="str">
        <x:f>IF(OR(L168="未检查",L168="通过",L168="不适用"),"",IFERROR(VLOOKUP(M168,'口径与下拉'!$A$9:$B$14,2,FALSE),0)+IFERROR(VLOOKUP(N168,'口径与下拉'!$D$9:$E$14,2,FALSE),0)+O168)</x:f>
      </x:c>
      <x:c r="Q168" s="29" t="str"/>
      <x:c r="R168" s="29" t="str">
        <x:f>IF(P168="","",IF(P168&gt;=13,"P0",IF(P168&gt;=10,"P1",IF(P168&gt;=7,"P2","P3"))))</x:f>
      </x:c>
      <x:c r="S168" s="21" t="str"/>
      <x:c r="T168" s="21" t="str"/>
      <x:c r="U168" s="21" t="str"/>
      <x:c r="V168" s="31" t="str"/>
      <x:c r="W168" s="21" t="str"/>
      <x:c r="X168" s="21" t="str">
        <x:v>未复测</x:v>
      </x:c>
      <x:c r="Y168" s="21" t="str"/>
    </x:row>
    <x:row r="169" ht="52" customHeight="1">
      <x:c r="A169" s="27" t="str">
        <x:v>UX-165</x:v>
      </x:c>
      <x:c r="B169" s="23" t="str">
        <x:v>13 神兽照料、疗愈、蜕变与岗位</x:v>
      </x:c>
      <x:c r="C169" s="23" t="str">
        <x:v>陪伴成长</x:v>
      </x:c>
      <x:c r="D169" s="23" t="str">
        <x:v>穷奇照料/归灯/岗位</x:v>
      </x:c>
      <x:c r="E169" s="21" t="str">
        <x:v>信任与疗愈双轨不混淆</x:v>
      </x:c>
      <x:c r="F169" s="21" t="str">
        <x:v>名称、进度来源、阶段阈值和满格结果明确</x:v>
      </x:c>
      <x:c r="G169" s="21" t="str">
        <x:v>关键节点前后对比</x:v>
      </x:c>
      <x:c r="H169" s="21" t="str">
        <x:v>理解/操作</x:v>
      </x:c>
      <x:c r="I169" s="21" t="str">
        <x:v>全流程</x:v>
      </x:c>
      <x:c r="J169" s="21" t="str">
        <x:v>全平台</x:v>
      </x:c>
      <x:c r="K169" s="21" t="str"/>
      <x:c r="L169" s="29" t="str">
        <x:v>未检查</x:v>
      </x:c>
      <x:c r="M169" s="29" t="str">
        <x:v>未确认</x:v>
      </x:c>
      <x:c r="N169" s="29" t="str">
        <x:v>未确认</x:v>
      </x:c>
      <x:c r="O169" s="29" t="str"/>
      <x:c r="P169" s="29" t="str">
        <x:f>IF(OR(L169="未检查",L169="通过",L169="不适用"),"",IFERROR(VLOOKUP(M169,'口径与下拉'!$A$9:$B$14,2,FALSE),0)+IFERROR(VLOOKUP(N169,'口径与下拉'!$D$9:$E$14,2,FALSE),0)+O169)</x:f>
      </x:c>
      <x:c r="Q169" s="29" t="str"/>
      <x:c r="R169" s="29" t="str">
        <x:f>IF(P169="","",IF(P169&gt;=13,"P0",IF(P169&gt;=10,"P1",IF(P169&gt;=7,"P2","P3"))))</x:f>
      </x:c>
      <x:c r="S169" s="21" t="str"/>
      <x:c r="T169" s="21" t="str"/>
      <x:c r="U169" s="21" t="str"/>
      <x:c r="V169" s="31" t="str"/>
      <x:c r="W169" s="21" t="str"/>
      <x:c r="X169" s="21" t="str">
        <x:v>未复测</x:v>
      </x:c>
      <x:c r="Y169" s="21" t="str"/>
    </x:row>
    <x:row r="170" ht="52" customHeight="1">
      <x:c r="A170" s="27" t="str">
        <x:v>UX-166</x:v>
      </x:c>
      <x:c r="B170" s="23" t="str">
        <x:v>13 神兽照料、疗愈、蜕变与岗位</x:v>
      </x:c>
      <x:c r="C170" s="23" t="str">
        <x:v>陪伴成长</x:v>
      </x:c>
      <x:c r="D170" s="23" t="str">
        <x:v>穷奇照料/归灯/岗位</x:v>
      </x:c>
      <x:c r="E170" s="21" t="str">
        <x:v>离线和未互动不降低信任</x:v>
      </x:c>
      <x:c r="F170" s="21" t="str">
        <x:v>长时间离线/改时钟不产生负向扣减</x:v>
      </x:c>
      <x:c r="G170" s="21" t="str">
        <x:v>时间跳跃测试</x:v>
      </x:c>
      <x:c r="H170" s="21" t="str">
        <x:v>情绪/公平</x:v>
      </x:c>
      <x:c r="I170" s="21" t="str">
        <x:v>全流程</x:v>
      </x:c>
      <x:c r="J170" s="21" t="str">
        <x:v>全平台</x:v>
      </x:c>
      <x:c r="K170" s="21" t="str"/>
      <x:c r="L170" s="29" t="str">
        <x:v>未检查</x:v>
      </x:c>
      <x:c r="M170" s="29" t="str">
        <x:v>未确认</x:v>
      </x:c>
      <x:c r="N170" s="29" t="str">
        <x:v>未确认</x:v>
      </x:c>
      <x:c r="O170" s="29" t="str"/>
      <x:c r="P170" s="29" t="str">
        <x:f>IF(OR(L170="未检查",L170="通过",L170="不适用"),"",IFERROR(VLOOKUP(M170,'口径与下拉'!$A$9:$B$14,2,FALSE),0)+IFERROR(VLOOKUP(N170,'口径与下拉'!$D$9:$E$14,2,FALSE),0)+O170)</x:f>
      </x:c>
      <x:c r="Q170" s="29" t="str"/>
      <x:c r="R170" s="29" t="str">
        <x:f>IF(P170="","",IF(P170&gt;=13,"P0",IF(P170&gt;=10,"P1",IF(P170&gt;=7,"P2","P3"))))</x:f>
      </x:c>
      <x:c r="S170" s="21" t="str"/>
      <x:c r="T170" s="21" t="str"/>
      <x:c r="U170" s="21" t="str"/>
      <x:c r="V170" s="31" t="str"/>
      <x:c r="W170" s="21" t="str"/>
      <x:c r="X170" s="21" t="str">
        <x:v>未复测</x:v>
      </x:c>
      <x:c r="Y170" s="21" t="str"/>
    </x:row>
    <x:row r="171" ht="52" customHeight="1">
      <x:c r="A171" s="27" t="str">
        <x:v>UX-167</x:v>
      </x:c>
      <x:c r="B171" s="23" t="str">
        <x:v>13 神兽照料、疗愈、蜕变与岗位</x:v>
      </x:c>
      <x:c r="C171" s="23" t="str">
        <x:v>陪伴成长</x:v>
      </x:c>
      <x:c r="D171" s="23" t="str">
        <x:v>穷奇照料/归灯/岗位</x:v>
      </x:c>
      <x:c r="E171" s="21" t="str">
        <x:v>照料事务绑定兽与难度</x:v>
      </x:c>
      <x:c r="F171" s="21" t="str">
        <x:v>开始后切兽、刷新或改状态不会把结果结算给错误对象</x:v>
      </x:c>
      <x:c r="G171" s="21" t="str">
        <x:v>中途切换/重载</x:v>
      </x:c>
      <x:c r="H171" s="21" t="str">
        <x:v>数据/信任</x:v>
      </x:c>
      <x:c r="I171" s="21" t="str">
        <x:v>全流程</x:v>
      </x:c>
      <x:c r="J171" s="21" t="str">
        <x:v>全平台</x:v>
      </x:c>
      <x:c r="K171" s="21" t="str"/>
      <x:c r="L171" s="29" t="str">
        <x:v>未检查</x:v>
      </x:c>
      <x:c r="M171" s="29" t="str">
        <x:v>未确认</x:v>
      </x:c>
      <x:c r="N171" s="29" t="str">
        <x:v>未确认</x:v>
      </x:c>
      <x:c r="O171" s="29" t="str"/>
      <x:c r="P171" s="29" t="str">
        <x:f>IF(OR(L171="未检查",L171="通过",L171="不适用"),"",IFERROR(VLOOKUP(M171,'口径与下拉'!$A$9:$B$14,2,FALSE),0)+IFERROR(VLOOKUP(N171,'口径与下拉'!$D$9:$E$14,2,FALSE),0)+O171)</x:f>
      </x:c>
      <x:c r="Q171" s="29" t="str"/>
      <x:c r="R171" s="29" t="str">
        <x:f>IF(P171="","",IF(P171&gt;=13,"P0",IF(P171&gt;=10,"P1",IF(P171&gt;=7,"P2","P3"))))</x:f>
      </x:c>
      <x:c r="S171" s="21" t="str"/>
      <x:c r="T171" s="21" t="str"/>
      <x:c r="U171" s="21" t="str"/>
      <x:c r="V171" s="31" t="str"/>
      <x:c r="W171" s="21" t="str"/>
      <x:c r="X171" s="21" t="str">
        <x:v>未复测</x:v>
      </x:c>
      <x:c r="Y171" s="21" t="str"/>
    </x:row>
    <x:row r="172" ht="52" customHeight="1">
      <x:c r="A172" s="27" t="str">
        <x:v>UX-168</x:v>
      </x:c>
      <x:c r="B172" s="23" t="str">
        <x:v>13 神兽照料、疗愈、蜕变与岗位</x:v>
      </x:c>
      <x:c r="C172" s="23" t="str">
        <x:v>陪伴成长</x:v>
      </x:c>
      <x:c r="D172" s="23" t="str">
        <x:v>穷奇照料/归灯/岗位</x:v>
      </x:c>
      <x:c r="E172" s="21" t="str">
        <x:v>中断退款只执行一次</x:v>
      </x:c>
      <x:c r="F172" s="21" t="str">
        <x:v>未完成照料恢复成本；成功结果优先且不可再退款</x:v>
      </x:c>
      <x:c r="G172" s="21" t="str">
        <x:v>各事务阶段重载</x:v>
      </x:c>
      <x:c r="H172" s="21" t="str">
        <x:v>数据/经济</x:v>
      </x:c>
      <x:c r="I172" s="21" t="str">
        <x:v>全流程</x:v>
      </x:c>
      <x:c r="J172" s="21" t="str">
        <x:v>全平台</x:v>
      </x:c>
      <x:c r="K172" s="21" t="str"/>
      <x:c r="L172" s="29" t="str">
        <x:v>未检查</x:v>
      </x:c>
      <x:c r="M172" s="29" t="str">
        <x:v>未确认</x:v>
      </x:c>
      <x:c r="N172" s="29" t="str">
        <x:v>未确认</x:v>
      </x:c>
      <x:c r="O172" s="29" t="str"/>
      <x:c r="P172" s="29" t="str">
        <x:f>IF(OR(L172="未检查",L172="通过",L172="不适用"),"",IFERROR(VLOOKUP(M172,'口径与下拉'!$A$9:$B$14,2,FALSE),0)+IFERROR(VLOOKUP(N172,'口径与下拉'!$D$9:$E$14,2,FALSE),0)+O172)</x:f>
      </x:c>
      <x:c r="Q172" s="29" t="str"/>
      <x:c r="R172" s="29" t="str">
        <x:f>IF(P172="","",IF(P172&gt;=13,"P0",IF(P172&gt;=10,"P1",IF(P172&gt;=7,"P2","P3"))))</x:f>
      </x:c>
      <x:c r="S172" s="21" t="str"/>
      <x:c r="T172" s="21" t="str"/>
      <x:c r="U172" s="21" t="str"/>
      <x:c r="V172" s="31" t="str"/>
      <x:c r="W172" s="21" t="str"/>
      <x:c r="X172" s="21" t="str">
        <x:v>未复测</x:v>
      </x:c>
      <x:c r="Y172" s="21" t="str"/>
    </x:row>
    <x:row r="173" ht="52" customHeight="1">
      <x:c r="A173" s="27" t="str">
        <x:v>UX-169</x:v>
      </x:c>
      <x:c r="B173" s="23" t="str">
        <x:v>13 神兽照料、疗愈、蜕变与岗位</x:v>
      </x:c>
      <x:c r="C173" s="23" t="str">
        <x:v>陪伴成长</x:v>
      </x:c>
      <x:c r="D173" s="23" t="str">
        <x:v>穷奇照料/归灯/岗位</x:v>
      </x:c>
      <x:c r="E173" s="21" t="str">
        <x:v>照料消耗与奖励透明</x:v>
      </x:c>
      <x:c r="F173" s="21" t="str">
        <x:v>开始前可知灵力/物品成本，完成后可核对信任/疗愈/素材</x:v>
      </x:c>
      <x:c r="G173" s="21" t="str">
        <x:v>前后差值记录</x:v>
      </x:c>
      <x:c r="H173" s="21" t="str">
        <x:v>理解/操作</x:v>
      </x:c>
      <x:c r="I173" s="21" t="str">
        <x:v>全流程</x:v>
      </x:c>
      <x:c r="J173" s="21" t="str">
        <x:v>全平台</x:v>
      </x:c>
      <x:c r="K173" s="21" t="str"/>
      <x:c r="L173" s="29" t="str">
        <x:v>未检查</x:v>
      </x:c>
      <x:c r="M173" s="29" t="str">
        <x:v>未确认</x:v>
      </x:c>
      <x:c r="N173" s="29" t="str">
        <x:v>未确认</x:v>
      </x:c>
      <x:c r="O173" s="29" t="str"/>
      <x:c r="P173" s="29" t="str">
        <x:f>IF(OR(L173="未检查",L173="通过",L173="不适用"),"",IFERROR(VLOOKUP(M173,'口径与下拉'!$A$9:$B$14,2,FALSE),0)+IFERROR(VLOOKUP(N173,'口径与下拉'!$D$9:$E$14,2,FALSE),0)+O173)</x:f>
      </x:c>
      <x:c r="Q173" s="29" t="str"/>
      <x:c r="R173" s="29" t="str">
        <x:f>IF(P173="","",IF(P173&gt;=13,"P0",IF(P173&gt;=10,"P1",IF(P173&gt;=7,"P2","P3"))))</x:f>
      </x:c>
      <x:c r="S173" s="21" t="str"/>
      <x:c r="T173" s="21" t="str"/>
      <x:c r="U173" s="21" t="str"/>
      <x:c r="V173" s="31" t="str"/>
      <x:c r="W173" s="21" t="str"/>
      <x:c r="X173" s="21" t="str">
        <x:v>未复测</x:v>
      </x:c>
      <x:c r="Y173" s="21" t="str"/>
    </x:row>
    <x:row r="174" ht="52" customHeight="1">
      <x:c r="A174" s="27" t="str">
        <x:v>UX-170</x:v>
      </x:c>
      <x:c r="B174" s="23" t="str">
        <x:v>13 神兽照料、疗愈、蜕变与岗位</x:v>
      </x:c>
      <x:c r="C174" s="23" t="str">
        <x:v>陪伴成长</x:v>
      </x:c>
      <x:c r="D174" s="23" t="str">
        <x:v>穷奇照料/归灯/岗位</x:v>
      </x:c>
      <x:c r="E174" s="21" t="str">
        <x:v>蜕变条件不能绕过</x:v>
      </x:c>
      <x:c r="F174" s="21" t="str">
        <x:v>需完成本卷故事、修缮和有效照料；重复小游戏不跳节点</x:v>
      </x:c>
      <x:c r="G174" s="21" t="str">
        <x:v>刻意跳步调用/操作</x:v>
      </x:c>
      <x:c r="H174" s="21" t="str">
        <x:v>进度/防作弊</x:v>
      </x:c>
      <x:c r="I174" s="21" t="str">
        <x:v>全流程</x:v>
      </x:c>
      <x:c r="J174" s="21" t="str">
        <x:v>全平台</x:v>
      </x:c>
      <x:c r="K174" s="21" t="str"/>
      <x:c r="L174" s="29" t="str">
        <x:v>未检查</x:v>
      </x:c>
      <x:c r="M174" s="29" t="str">
        <x:v>未确认</x:v>
      </x:c>
      <x:c r="N174" s="29" t="str">
        <x:v>未确认</x:v>
      </x:c>
      <x:c r="O174" s="29" t="str"/>
      <x:c r="P174" s="29" t="str">
        <x:f>IF(OR(L174="未检查",L174="通过",L174="不适用"),"",IFERROR(VLOOKUP(M174,'口径与下拉'!$A$9:$B$14,2,FALSE),0)+IFERROR(VLOOKUP(N174,'口径与下拉'!$D$9:$E$14,2,FALSE),0)+O174)</x:f>
      </x:c>
      <x:c r="Q174" s="29" t="str"/>
      <x:c r="R174" s="29" t="str">
        <x:f>IF(P174="","",IF(P174&gt;=13,"P0",IF(P174&gt;=10,"P1",IF(P174&gt;=7,"P2","P3"))))</x:f>
      </x:c>
      <x:c r="S174" s="21" t="str"/>
      <x:c r="T174" s="21" t="str"/>
      <x:c r="U174" s="21" t="str"/>
      <x:c r="V174" s="31" t="str"/>
      <x:c r="W174" s="21" t="str"/>
      <x:c r="X174" s="21" t="str">
        <x:v>未复测</x:v>
      </x:c>
      <x:c r="Y174" s="21" t="str"/>
    </x:row>
    <x:row r="175" ht="52" customHeight="1">
      <x:c r="A175" s="27" t="str">
        <x:v>UX-171</x:v>
      </x:c>
      <x:c r="B175" s="23" t="str">
        <x:v>13 神兽照料、疗愈、蜕变与岗位</x:v>
      </x:c>
      <x:c r="C175" s="23" t="str">
        <x:v>陪伴成长</x:v>
      </x:c>
      <x:c r="D175" s="23" t="str">
        <x:v>穷奇照料/归灯/岗位</x:v>
      </x:c>
      <x:c r="E175" s="21" t="str">
        <x:v>蜕变演出有强情感回报</x:v>
      </x:c>
      <x:c r="F175" s="21" t="str">
        <x:v>前后形态、角色反馈、解锁职责与下一步同时被理解</x:v>
      </x:c>
      <x:c r="G175" s="21" t="str">
        <x:v>新玩家观察与访谈</x:v>
      </x:c>
      <x:c r="H175" s="21" t="str">
        <x:v>情绪/留存</x:v>
      </x:c>
      <x:c r="I175" s="21" t="str">
        <x:v>全流程</x:v>
      </x:c>
      <x:c r="J175" s="21" t="str">
        <x:v>全平台</x:v>
      </x:c>
      <x:c r="K175" s="21" t="str"/>
      <x:c r="L175" s="29" t="str">
        <x:v>未检查</x:v>
      </x:c>
      <x:c r="M175" s="29" t="str">
        <x:v>未确认</x:v>
      </x:c>
      <x:c r="N175" s="29" t="str">
        <x:v>未确认</x:v>
      </x:c>
      <x:c r="O175" s="29" t="str"/>
      <x:c r="P175" s="29" t="str">
        <x:f>IF(OR(L175="未检查",L175="通过",L175="不适用"),"",IFERROR(VLOOKUP(M175,'口径与下拉'!$A$9:$B$14,2,FALSE),0)+IFERROR(VLOOKUP(N175,'口径与下拉'!$D$9:$E$14,2,FALSE),0)+O175)</x:f>
      </x:c>
      <x:c r="Q175" s="29" t="str"/>
      <x:c r="R175" s="29" t="str">
        <x:f>IF(P175="","",IF(P175&gt;=13,"P0",IF(P175&gt;=10,"P1",IF(P175&gt;=7,"P2","P3"))))</x:f>
      </x:c>
      <x:c r="S175" s="21" t="str"/>
      <x:c r="T175" s="21" t="str"/>
      <x:c r="U175" s="21" t="str"/>
      <x:c r="V175" s="31" t="str"/>
      <x:c r="W175" s="21" t="str"/>
      <x:c r="X175" s="21" t="str">
        <x:v>未复测</x:v>
      </x:c>
      <x:c r="Y175" s="21" t="str"/>
    </x:row>
    <x:row r="176" ht="52" customHeight="1">
      <x:c r="A176" s="27" t="str">
        <x:v>UX-172</x:v>
      </x:c>
      <x:c r="B176" s="23" t="str">
        <x:v>13 神兽照料、疗愈、蜕变与岗位</x:v>
      </x:c>
      <x:c r="C176" s="23" t="str">
        <x:v>陪伴成长</x:v>
      </x:c>
      <x:c r="D176" s="23" t="str">
        <x:v>穷奇照料/归灯/岗位</x:v>
      </x:c>
      <x:c r="E176" s="21" t="str">
        <x:v>蜕变演出可恢复</x:v>
      </x:c>
      <x:c r="F176" s="21" t="str">
        <x:v>播放中切后台/刷新后不重复扣费或丢完成状态</x:v>
      </x:c>
      <x:c r="G176" s="21" t="str">
        <x:v>生命周期测试</x:v>
      </x:c>
      <x:c r="H176" s="21" t="str">
        <x:v>数据/稳定性</x:v>
      </x:c>
      <x:c r="I176" s="21" t="str">
        <x:v>全流程</x:v>
      </x:c>
      <x:c r="J176" s="21" t="str">
        <x:v>全平台</x:v>
      </x:c>
      <x:c r="K176" s="21" t="str"/>
      <x:c r="L176" s="29" t="str">
        <x:v>未检查</x:v>
      </x:c>
      <x:c r="M176" s="29" t="str">
        <x:v>未确认</x:v>
      </x:c>
      <x:c r="N176" s="29" t="str">
        <x:v>未确认</x:v>
      </x:c>
      <x:c r="O176" s="29" t="str"/>
      <x:c r="P176" s="29" t="str">
        <x:f>IF(OR(L176="未检查",L176="通过",L176="不适用"),"",IFERROR(VLOOKUP(M176,'口径与下拉'!$A$9:$B$14,2,FALSE),0)+IFERROR(VLOOKUP(N176,'口径与下拉'!$D$9:$E$14,2,FALSE),0)+O176)</x:f>
      </x:c>
      <x:c r="Q176" s="29" t="str"/>
      <x:c r="R176" s="29" t="str">
        <x:f>IF(P176="","",IF(P176&gt;=13,"P0",IF(P176&gt;=10,"P1",IF(P176&gt;=7,"P2","P3"))))</x:f>
      </x:c>
      <x:c r="S176" s="21" t="str"/>
      <x:c r="T176" s="21" t="str"/>
      <x:c r="U176" s="21" t="str"/>
      <x:c r="V176" s="31" t="str"/>
      <x:c r="W176" s="21" t="str"/>
      <x:c r="X176" s="21" t="str">
        <x:v>未复测</x:v>
      </x:c>
      <x:c r="Y176" s="21" t="str"/>
    </x:row>
    <x:row r="177" ht="52" customHeight="1">
      <x:c r="A177" s="27" t="str">
        <x:v>UX-173</x:v>
      </x:c>
      <x:c r="B177" s="23" t="str">
        <x:v>13 神兽照料、疗愈、蜕变与岗位</x:v>
      </x:c>
      <x:c r="C177" s="23" t="str">
        <x:v>陪伴成长</x:v>
      </x:c>
      <x:c r="D177" s="23" t="str">
        <x:v>穷奇照料/归灯/岗位</x:v>
      </x:c>
      <x:c r="E177" s="21" t="str">
        <x:v>岗位状态 locked→ready→active 正确</x:v>
      </x:c>
      <x:c r="F177" s="21" t="str">
        <x:v>条件、首次上岗、产出时间和显示同步</x:v>
      </x:c>
      <x:c r="G177" s="21" t="str">
        <x:v>逐状态构造</x:v>
      </x:c>
      <x:c r="H177" s="21" t="str">
        <x:v>成长/数据</x:v>
      </x:c>
      <x:c r="I177" s="21" t="str">
        <x:v>全流程</x:v>
      </x:c>
      <x:c r="J177" s="21" t="str">
        <x:v>全平台</x:v>
      </x:c>
      <x:c r="K177" s="21" t="str"/>
      <x:c r="L177" s="29" t="str">
        <x:v>未检查</x:v>
      </x:c>
      <x:c r="M177" s="29" t="str">
        <x:v>未确认</x:v>
      </x:c>
      <x:c r="N177" s="29" t="str">
        <x:v>未确认</x:v>
      </x:c>
      <x:c r="O177" s="29" t="str"/>
      <x:c r="P177" s="29" t="str">
        <x:f>IF(OR(L177="未检查",L177="通过",L177="不适用"),"",IFERROR(VLOOKUP(M177,'口径与下拉'!$A$9:$B$14,2,FALSE),0)+IFERROR(VLOOKUP(N177,'口径与下拉'!$D$9:$E$14,2,FALSE),0)+O177)</x:f>
      </x:c>
      <x:c r="Q177" s="29" t="str"/>
      <x:c r="R177" s="29" t="str">
        <x:f>IF(P177="","",IF(P177&gt;=13,"P0",IF(P177&gt;=10,"P1",IF(P177&gt;=7,"P2","P3"))))</x:f>
      </x:c>
      <x:c r="S177" s="21" t="str"/>
      <x:c r="T177" s="21" t="str"/>
      <x:c r="U177" s="21" t="str"/>
      <x:c r="V177" s="31" t="str"/>
      <x:c r="W177" s="21" t="str"/>
      <x:c r="X177" s="21" t="str">
        <x:v>未复测</x:v>
      </x:c>
      <x:c r="Y177" s="21" t="str"/>
    </x:row>
    <x:row r="178" ht="52" customHeight="1">
      <x:c r="A178" s="27" t="str">
        <x:v>UX-174</x:v>
      </x:c>
      <x:c r="B178" s="23" t="str">
        <x:v>13 神兽照料、疗愈、蜕变与岗位</x:v>
      </x:c>
      <x:c r="C178" s="23" t="str">
        <x:v>陪伴成长</x:v>
      </x:c>
      <x:c r="D178" s="23" t="str">
        <x:v>穷奇照料/归灯/岗位</x:v>
      </x:c>
      <x:c r="E178" s="21" t="str">
        <x:v>岗位日收益幂等</x:v>
      </x:c>
      <x:c r="F178" s="21" t="str">
        <x:v>同一领取周期只结算一次，时间回拨不重复</x:v>
      </x:c>
      <x:c r="G178" s="21" t="str">
        <x:v>多次领取/改时钟</x:v>
      </x:c>
      <x:c r="H178" s="21" t="str">
        <x:v>经济/信任</x:v>
      </x:c>
      <x:c r="I178" s="21" t="str">
        <x:v>全流程</x:v>
      </x:c>
      <x:c r="J178" s="21" t="str">
        <x:v>全平台</x:v>
      </x:c>
      <x:c r="K178" s="21" t="str"/>
      <x:c r="L178" s="29" t="str">
        <x:v>未检查</x:v>
      </x:c>
      <x:c r="M178" s="29" t="str">
        <x:v>未确认</x:v>
      </x:c>
      <x:c r="N178" s="29" t="str">
        <x:v>未确认</x:v>
      </x:c>
      <x:c r="O178" s="29" t="str"/>
      <x:c r="P178" s="29" t="str">
        <x:f>IF(OR(L178="未检查",L178="通过",L178="不适用"),"",IFERROR(VLOOKUP(M178,'口径与下拉'!$A$9:$B$14,2,FALSE),0)+IFERROR(VLOOKUP(N178,'口径与下拉'!$D$9:$E$14,2,FALSE),0)+O178)</x:f>
      </x:c>
      <x:c r="Q178" s="29" t="str"/>
      <x:c r="R178" s="29" t="str">
        <x:f>IF(P178="","",IF(P178&gt;=13,"P0",IF(P178&gt;=10,"P1",IF(P178&gt;=7,"P2","P3"))))</x:f>
      </x:c>
      <x:c r="S178" s="21" t="str"/>
      <x:c r="T178" s="21" t="str"/>
      <x:c r="U178" s="21" t="str"/>
      <x:c r="V178" s="31" t="str"/>
      <x:c r="W178" s="21" t="str"/>
      <x:c r="X178" s="21" t="str">
        <x:v>未复测</x:v>
      </x:c>
      <x:c r="Y178" s="21" t="str"/>
    </x:row>
    <x:row r="179" ht="52" customHeight="1">
      <x:c r="A179" s="27" t="str">
        <x:v>UX-175</x:v>
      </x:c>
      <x:c r="B179" s="23" t="str">
        <x:v>13 神兽照料、疗愈、蜕变与岗位</x:v>
      </x:c>
      <x:c r="C179" s="23" t="str">
        <x:v>陪伴成长</x:v>
      </x:c>
      <x:c r="D179" s="23" t="str">
        <x:v>穷奇照料/归灯/岗位</x:v>
      </x:c>
      <x:c r="E179" s="21" t="str">
        <x:v>欢迎回来只给正向产出</x:v>
      </x:c>
      <x:c r="F179" s="21" t="str">
        <x:v>设施与岗位收益清晰，不出现惩罚、信任下降或负债</x:v>
      </x:c>
      <x:c r="G179" s="21" t="str">
        <x:v>长短离线回归测试</x:v>
      </x:c>
      <x:c r="H179" s="21" t="str">
        <x:v>情绪/回流</x:v>
      </x:c>
      <x:c r="I179" s="21" t="str">
        <x:v>全流程</x:v>
      </x:c>
      <x:c r="J179" s="21" t="str">
        <x:v>全平台</x:v>
      </x:c>
      <x:c r="K179" s="21" t="str"/>
      <x:c r="L179" s="29" t="str">
        <x:v>未检查</x:v>
      </x:c>
      <x:c r="M179" s="29" t="str">
        <x:v>未确认</x:v>
      </x:c>
      <x:c r="N179" s="29" t="str">
        <x:v>未确认</x:v>
      </x:c>
      <x:c r="O179" s="29" t="str"/>
      <x:c r="P179" s="29" t="str">
        <x:f>IF(OR(L179="未检查",L179="通过",L179="不适用"),"",IFERROR(VLOOKUP(M179,'口径与下拉'!$A$9:$B$14,2,FALSE),0)+IFERROR(VLOOKUP(N179,'口径与下拉'!$D$9:$E$14,2,FALSE),0)+O179)</x:f>
      </x:c>
      <x:c r="Q179" s="29" t="str"/>
      <x:c r="R179" s="29" t="str">
        <x:f>IF(P179="","",IF(P179&gt;=13,"P0",IF(P179&gt;=10,"P1",IF(P179&gt;=7,"P2","P3"))))</x:f>
      </x:c>
      <x:c r="S179" s="21" t="str"/>
      <x:c r="T179" s="21" t="str"/>
      <x:c r="U179" s="21" t="str"/>
      <x:c r="V179" s="31" t="str"/>
      <x:c r="W179" s="21" t="str"/>
      <x:c r="X179" s="21" t="str">
        <x:v>未复测</x:v>
      </x:c>
      <x:c r="Y179" s="21" t="str"/>
    </x:row>
    <x:row r="180" ht="52" customHeight="1">
      <x:c r="A180" s="27" t="str">
        <x:v>UX-176</x:v>
      </x:c>
      <x:c r="B180" s="23" t="str">
        <x:v>13 神兽照料、疗愈、蜕变与岗位</x:v>
      </x:c>
      <x:c r="C180" s="23" t="str">
        <x:v>陪伴成长</x:v>
      </x:c>
      <x:c r="D180" s="23" t="str">
        <x:v>穷奇照料/归灯/岗位</x:v>
      </x:c>
      <x:c r="E180" s="21" t="str">
        <x:v>角色点击与场景动作不冲突</x:v>
      </x:c>
      <x:c r="F180" s="21" t="str">
        <x:v>点击神兽、建筑、漫游层时命中正确，不被 HUD/装饰遮挡</x:v>
      </x:c>
      <x:c r="G180" s="21" t="str">
        <x:v>庭院热区测试</x:v>
      </x:c>
      <x:c r="H180" s="21" t="str">
        <x:v>操作/沉浸</x:v>
      </x:c>
      <x:c r="I180" s="21" t="str">
        <x:v>全流程</x:v>
      </x:c>
      <x:c r="J180" s="21" t="str">
        <x:v>全平台</x:v>
      </x:c>
      <x:c r="K180" s="21" t="str"/>
      <x:c r="L180" s="29" t="str">
        <x:v>未检查</x:v>
      </x:c>
      <x:c r="M180" s="29" t="str">
        <x:v>未确认</x:v>
      </x:c>
      <x:c r="N180" s="29" t="str">
        <x:v>未确认</x:v>
      </x:c>
      <x:c r="O180" s="29" t="str"/>
      <x:c r="P180" s="29" t="str">
        <x:f>IF(OR(L180="未检查",L180="通过",L180="不适用"),"",IFERROR(VLOOKUP(M180,'口径与下拉'!$A$9:$B$14,2,FALSE),0)+IFERROR(VLOOKUP(N180,'口径与下拉'!$D$9:$E$14,2,FALSE),0)+O180)</x:f>
      </x:c>
      <x:c r="Q180" s="29" t="str"/>
      <x:c r="R180" s="29" t="str">
        <x:f>IF(P180="","",IF(P180&gt;=13,"P0",IF(P180&gt;=10,"P1",IF(P180&gt;=7,"P2","P3"))))</x:f>
      </x:c>
      <x:c r="S180" s="21" t="str"/>
      <x:c r="T180" s="21" t="str"/>
      <x:c r="U180" s="21" t="str"/>
      <x:c r="V180" s="31" t="str"/>
      <x:c r="W180" s="21" t="str"/>
      <x:c r="X180" s="21" t="str">
        <x:v>未复测</x:v>
      </x:c>
      <x:c r="Y180" s="21" t="str"/>
    </x:row>
    <x:row r="181" ht="52" customHeight="1">
      <x:c r="A181" s="27" t="str">
        <x:v>UX-177</x:v>
      </x:c>
      <x:c r="B181" s="23" t="str">
        <x:v>14 玩具塔与梳洗台小游戏</x:v>
      </x:c>
      <x:c r="C181" s="23" t="str">
        <x:v>小游戏生态</x:v>
      </x:c>
      <x:c r="D181" s="23" t="str">
        <x:v>模式选择/关卡/交换消除</x:v>
      </x:c>
      <x:c r="E181" s="21" t="str">
        <x:v>玩具塔使用五格槽与三同消除</x:v>
      </x:c>
      <x:c r="F181" s="21" t="str">
        <x:v>规则、槽位数量、入槽顺序和三消结果与提示一致</x:v>
      </x:c>
      <x:c r="G181" s="21" t="str">
        <x:v>基础规则用例</x:v>
      </x:c>
      <x:c r="H181" s="21" t="str">
        <x:v>理解/操作</x:v>
      </x:c>
      <x:c r="I181" s="21" t="str">
        <x:v>全流程</x:v>
      </x:c>
      <x:c r="J181" s="21" t="str">
        <x:v>全平台</x:v>
      </x:c>
      <x:c r="K181" s="21" t="str"/>
      <x:c r="L181" s="29" t="str">
        <x:v>未检查</x:v>
      </x:c>
      <x:c r="M181" s="29" t="str">
        <x:v>未确认</x:v>
      </x:c>
      <x:c r="N181" s="29" t="str">
        <x:v>未确认</x:v>
      </x:c>
      <x:c r="O181" s="29" t="str"/>
      <x:c r="P181" s="29" t="str">
        <x:f>IF(OR(L181="未检查",L181="通过",L181="不适用"),"",IFERROR(VLOOKUP(M181,'口径与下拉'!$A$9:$B$14,2,FALSE),0)+IFERROR(VLOOKUP(N181,'口径与下拉'!$D$9:$E$14,2,FALSE),0)+O181)</x:f>
      </x:c>
      <x:c r="Q181" s="29" t="str"/>
      <x:c r="R181" s="29" t="str">
        <x:f>IF(P181="","",IF(P181&gt;=13,"P0",IF(P181&gt;=10,"P1",IF(P181&gt;=7,"P2","P3"))))</x:f>
      </x:c>
      <x:c r="S181" s="21" t="str"/>
      <x:c r="T181" s="21" t="str"/>
      <x:c r="U181" s="21" t="str"/>
      <x:c r="V181" s="31" t="str"/>
      <x:c r="W181" s="21" t="str"/>
      <x:c r="X181" s="21" t="str">
        <x:v>未复测</x:v>
      </x:c>
      <x:c r="Y181" s="21" t="str"/>
    </x:row>
    <x:row r="182" ht="52" customHeight="1">
      <x:c r="A182" s="27" t="str">
        <x:v>UX-178</x:v>
      </x:c>
      <x:c r="B182" s="23" t="str">
        <x:v>14 玩具塔与梳洗台小游戏</x:v>
      </x:c>
      <x:c r="C182" s="23" t="str">
        <x:v>小游戏生态</x:v>
      </x:c>
      <x:c r="D182" s="23" t="str">
        <x:v>模式选择/关卡/交换消除</x:v>
      </x:c>
      <x:c r="E182" s="21" t="str">
        <x:v>模式选择差异可理解</x:v>
      </x:c>
      <x:c r="F182" s="21" t="str">
        <x:v>各模式说明目标、时长、奖励和难度，不出现同质按钮</x:v>
      </x:c>
      <x:c r="G182" s="21" t="str">
        <x:v>首次选择可用性测试</x:v>
      </x:c>
      <x:c r="H182" s="21" t="str">
        <x:v>理解/操作</x:v>
      </x:c>
      <x:c r="I182" s="21" t="str">
        <x:v>全流程</x:v>
      </x:c>
      <x:c r="J182" s="21" t="str">
        <x:v>全平台</x:v>
      </x:c>
      <x:c r="K182" s="21" t="str"/>
      <x:c r="L182" s="29" t="str">
        <x:v>未检查</x:v>
      </x:c>
      <x:c r="M182" s="29" t="str">
        <x:v>未确认</x:v>
      </x:c>
      <x:c r="N182" s="29" t="str">
        <x:v>未确认</x:v>
      </x:c>
      <x:c r="O182" s="29" t="str"/>
      <x:c r="P182" s="29" t="str">
        <x:f>IF(OR(L182="未检查",L182="通过",L182="不适用"),"",IFERROR(VLOOKUP(M182,'口径与下拉'!$A$9:$B$14,2,FALSE),0)+IFERROR(VLOOKUP(N182,'口径与下拉'!$D$9:$E$14,2,FALSE),0)+O182)</x:f>
      </x:c>
      <x:c r="Q182" s="29" t="str"/>
      <x:c r="R182" s="29" t="str">
        <x:f>IF(P182="","",IF(P182&gt;=13,"P0",IF(P182&gt;=10,"P1",IF(P182&gt;=7,"P2","P3"))))</x:f>
      </x:c>
      <x:c r="S182" s="21" t="str"/>
      <x:c r="T182" s="21" t="str"/>
      <x:c r="U182" s="21" t="str"/>
      <x:c r="V182" s="31" t="str"/>
      <x:c r="W182" s="21" t="str"/>
      <x:c r="X182" s="21" t="str">
        <x:v>未复测</x:v>
      </x:c>
      <x:c r="Y182" s="21" t="str"/>
    </x:row>
    <x:row r="183" ht="52" customHeight="1">
      <x:c r="A183" s="27" t="str">
        <x:v>UX-179</x:v>
      </x:c>
      <x:c r="B183" s="23" t="str">
        <x:v>14 玩具塔与梳洗台小游戏</x:v>
      </x:c>
      <x:c r="C183" s="23" t="str">
        <x:v>小游戏生态</x:v>
      </x:c>
      <x:c r="D183" s="23" t="str">
        <x:v>模式选择/关卡/交换消除</x:v>
      </x:c>
      <x:c r="E183" s="21" t="str">
        <x:v>有效局每次都获得素材</x:v>
      </x:c>
      <x:c r="F183" s="21" t="str">
        <x:v>不设隐藏每日次数上限；奖励与结算页一致</x:v>
      </x:c>
      <x:c r="G183" s="21" t="str">
        <x:v>连续多局核对</x:v>
      </x:c>
      <x:c r="H183" s="21" t="str">
        <x:v>奖励/信任</x:v>
      </x:c>
      <x:c r="I183" s="21" t="str">
        <x:v>全流程</x:v>
      </x:c>
      <x:c r="J183" s="21" t="str">
        <x:v>全平台</x:v>
      </x:c>
      <x:c r="K183" s="21" t="str"/>
      <x:c r="L183" s="29" t="str">
        <x:v>未检查</x:v>
      </x:c>
      <x:c r="M183" s="29" t="str">
        <x:v>未确认</x:v>
      </x:c>
      <x:c r="N183" s="29" t="str">
        <x:v>未确认</x:v>
      </x:c>
      <x:c r="O183" s="29" t="str"/>
      <x:c r="P183" s="29" t="str">
        <x:f>IF(OR(L183="未检查",L183="通过",L183="不适用"),"",IFERROR(VLOOKUP(M183,'口径与下拉'!$A$9:$B$14,2,FALSE),0)+IFERROR(VLOOKUP(N183,'口径与下拉'!$D$9:$E$14,2,FALSE),0)+O183)</x:f>
      </x:c>
      <x:c r="Q183" s="29" t="str"/>
      <x:c r="R183" s="29" t="str">
        <x:f>IF(P183="","",IF(P183&gt;=13,"P0",IF(P183&gt;=10,"P1",IF(P183&gt;=7,"P2","P3"))))</x:f>
      </x:c>
      <x:c r="S183" s="21" t="str"/>
      <x:c r="T183" s="21" t="str"/>
      <x:c r="U183" s="21" t="str"/>
      <x:c r="V183" s="31" t="str"/>
      <x:c r="W183" s="21" t="str"/>
      <x:c r="X183" s="21" t="str">
        <x:v>未复测</x:v>
      </x:c>
      <x:c r="Y183" s="21" t="str"/>
    </x:row>
    <x:row r="184" ht="52" customHeight="1">
      <x:c r="A184" s="27" t="str">
        <x:v>UX-180</x:v>
      </x:c>
      <x:c r="B184" s="23" t="str">
        <x:v>14 玩具塔与梳洗台小游戏</x:v>
      </x:c>
      <x:c r="C184" s="23" t="str">
        <x:v>小游戏生态</x:v>
      </x:c>
      <x:c r="D184" s="23" t="str">
        <x:v>模式选择/关卡/交换消除</x:v>
      </x:c>
      <x:c r="E184" s="21" t="str">
        <x:v>无效/中断局不误扣与误奖</x:v>
      </x:c>
      <x:c r="F184" s="21" t="str">
        <x:v>未开始、加载失败、主动退出和崩溃均按明确规则处理</x:v>
      </x:c>
      <x:c r="G184" s="21" t="str">
        <x:v>各中断阶段测试</x:v>
      </x:c>
      <x:c r="H184" s="21" t="str">
        <x:v>数据/公平</x:v>
      </x:c>
      <x:c r="I184" s="21" t="str">
        <x:v>全流程</x:v>
      </x:c>
      <x:c r="J184" s="21" t="str">
        <x:v>全平台</x:v>
      </x:c>
      <x:c r="K184" s="21" t="str"/>
      <x:c r="L184" s="29" t="str">
        <x:v>未检查</x:v>
      </x:c>
      <x:c r="M184" s="29" t="str">
        <x:v>未确认</x:v>
      </x:c>
      <x:c r="N184" s="29" t="str">
        <x:v>未确认</x:v>
      </x:c>
      <x:c r="O184" s="29" t="str"/>
      <x:c r="P184" s="29" t="str">
        <x:f>IF(OR(L184="未检查",L184="通过",L184="不适用"),"",IFERROR(VLOOKUP(M184,'口径与下拉'!$A$9:$B$14,2,FALSE),0)+IFERROR(VLOOKUP(N184,'口径与下拉'!$D$9:$E$14,2,FALSE),0)+O184)</x:f>
      </x:c>
      <x:c r="Q184" s="29" t="str"/>
      <x:c r="R184" s="29" t="str">
        <x:f>IF(P184="","",IF(P184&gt;=13,"P0",IF(P184&gt;=10,"P1",IF(P184&gt;=7,"P2","P3"))))</x:f>
      </x:c>
      <x:c r="S184" s="21" t="str"/>
      <x:c r="T184" s="21" t="str"/>
      <x:c r="U184" s="21" t="str"/>
      <x:c r="V184" s="31" t="str"/>
      <x:c r="W184" s="21" t="str"/>
      <x:c r="X184" s="21" t="str">
        <x:v>未复测</x:v>
      </x:c>
      <x:c r="Y184" s="21" t="str"/>
    </x:row>
    <x:row r="185" ht="52" customHeight="1">
      <x:c r="A185" s="27" t="str">
        <x:v>UX-181</x:v>
      </x:c>
      <x:c r="B185" s="23" t="str">
        <x:v>14 玩具塔与梳洗台小游戏</x:v>
      </x:c>
      <x:c r="C185" s="23" t="str">
        <x:v>小游戏生态</x:v>
      </x:c>
      <x:c r="D185" s="23" t="str">
        <x:v>模式选择/关卡/交换消除</x:v>
      </x:c>
      <x:c r="E185" s="21" t="str">
        <x:v>局面可理解且非恶意无解</x:v>
      </x:c>
      <x:c r="F185" s="21" t="str">
        <x:v>遮挡、层叠、随机和槽位压力不制造不可读死局</x:v>
      </x:c>
      <x:c r="G185" s="21" t="str">
        <x:v>多随机种子与新玩家观察</x:v>
      </x:c>
      <x:c r="H185" s="21" t="str">
        <x:v>难度/公平</x:v>
      </x:c>
      <x:c r="I185" s="21" t="str">
        <x:v>全流程</x:v>
      </x:c>
      <x:c r="J185" s="21" t="str">
        <x:v>全平台</x:v>
      </x:c>
      <x:c r="K185" s="21" t="str"/>
      <x:c r="L185" s="29" t="str">
        <x:v>未检查</x:v>
      </x:c>
      <x:c r="M185" s="29" t="str">
        <x:v>未确认</x:v>
      </x:c>
      <x:c r="N185" s="29" t="str">
        <x:v>未确认</x:v>
      </x:c>
      <x:c r="O185" s="29" t="str"/>
      <x:c r="P185" s="29" t="str">
        <x:f>IF(OR(L185="未检查",L185="通过",L185="不适用"),"",IFERROR(VLOOKUP(M185,'口径与下拉'!$A$9:$B$14,2,FALSE),0)+IFERROR(VLOOKUP(N185,'口径与下拉'!$D$9:$E$14,2,FALSE),0)+O185)</x:f>
      </x:c>
      <x:c r="Q185" s="29" t="str"/>
      <x:c r="R185" s="29" t="str">
        <x:f>IF(P185="","",IF(P185&gt;=13,"P0",IF(P185&gt;=10,"P1",IF(P185&gt;=7,"P2","P3"))))</x:f>
      </x:c>
      <x:c r="S185" s="21" t="str"/>
      <x:c r="T185" s="21" t="str"/>
      <x:c r="U185" s="21" t="str"/>
      <x:c r="V185" s="31" t="str"/>
      <x:c r="W185" s="21" t="str"/>
      <x:c r="X185" s="21" t="str">
        <x:v>未复测</x:v>
      </x:c>
      <x:c r="Y185" s="21" t="str"/>
    </x:row>
    <x:row r="186" ht="52" customHeight="1">
      <x:c r="A186" s="27" t="str">
        <x:v>UX-182</x:v>
      </x:c>
      <x:c r="B186" s="23" t="str">
        <x:v>14 玩具塔与梳洗台小游戏</x:v>
      </x:c>
      <x:c r="C186" s="23" t="str">
        <x:v>小游戏生态</x:v>
      </x:c>
      <x:c r="D186" s="23" t="str">
        <x:v>模式选择/关卡/交换消除</x:v>
      </x:c>
      <x:c r="E186" s="21" t="str">
        <x:v>暂停、切后台与恢复正确</x:v>
      </x:c>
      <x:c r="F186" s="21" t="str">
        <x:v>计时/局面/音效不重复或偷跑，无法恢复时给安全结算</x:v>
      </x:c>
      <x:c r="G186" s="21" t="str">
        <x:v>生命周期测试</x:v>
      </x:c>
      <x:c r="H186" s="21" t="str">
        <x:v>理解/操作</x:v>
      </x:c>
      <x:c r="I186" s="21" t="str">
        <x:v>全流程</x:v>
      </x:c>
      <x:c r="J186" s="21" t="str">
        <x:v>全平台</x:v>
      </x:c>
      <x:c r="K186" s="21" t="str"/>
      <x:c r="L186" s="29" t="str">
        <x:v>未检查</x:v>
      </x:c>
      <x:c r="M186" s="29" t="str">
        <x:v>未确认</x:v>
      </x:c>
      <x:c r="N186" s="29" t="str">
        <x:v>未确认</x:v>
      </x:c>
      <x:c r="O186" s="29" t="str"/>
      <x:c r="P186" s="29" t="str">
        <x:f>IF(OR(L186="未检查",L186="通过",L186="不适用"),"",IFERROR(VLOOKUP(M186,'口径与下拉'!$A$9:$B$14,2,FALSE),0)+IFERROR(VLOOKUP(N186,'口径与下拉'!$D$9:$E$14,2,FALSE),0)+O186)</x:f>
      </x:c>
      <x:c r="Q186" s="29" t="str"/>
      <x:c r="R186" s="29" t="str">
        <x:f>IF(P186="","",IF(P186&gt;=13,"P0",IF(P186&gt;=10,"P1",IF(P186&gt;=7,"P2","P3"))))</x:f>
      </x:c>
      <x:c r="S186" s="21" t="str"/>
      <x:c r="T186" s="21" t="str"/>
      <x:c r="U186" s="21" t="str"/>
      <x:c r="V186" s="31" t="str"/>
      <x:c r="W186" s="21" t="str"/>
      <x:c r="X186" s="21" t="str">
        <x:v>未复测</x:v>
      </x:c>
      <x:c r="Y186" s="21" t="str"/>
    </x:row>
    <x:row r="187" ht="52" customHeight="1">
      <x:c r="A187" s="27" t="str">
        <x:v>UX-183</x:v>
      </x:c>
      <x:c r="B187" s="23" t="str">
        <x:v>14 玩具塔与梳洗台小游戏</x:v>
      </x:c>
      <x:c r="C187" s="23" t="str">
        <x:v>小游戏生态</x:v>
      </x:c>
      <x:c r="D187" s="23" t="str">
        <x:v>模式选择/关卡/交换消除</x:v>
      </x:c>
      <x:c r="E187" s="21" t="str">
        <x:v>低端机连续点击仍准确</x:v>
      </x:c>
      <x:c r="F187" s="21" t="str">
        <x:v>卡片不重复入槽、跳层、穿透或漏消</x:v>
      </x:c>
      <x:c r="G187" s="21" t="str">
        <x:v>高频输入压力测试</x:v>
      </x:c>
      <x:c r="H187" s="21" t="str">
        <x:v>手感/性能</x:v>
      </x:c>
      <x:c r="I187" s="21" t="str">
        <x:v>全流程</x:v>
      </x:c>
      <x:c r="J187" s="21" t="str">
        <x:v>全平台</x:v>
      </x:c>
      <x:c r="K187" s="21" t="str"/>
      <x:c r="L187" s="29" t="str">
        <x:v>未检查</x:v>
      </x:c>
      <x:c r="M187" s="29" t="str">
        <x:v>未确认</x:v>
      </x:c>
      <x:c r="N187" s="29" t="str">
        <x:v>未确认</x:v>
      </x:c>
      <x:c r="O187" s="29" t="str"/>
      <x:c r="P187" s="29" t="str">
        <x:f>IF(OR(L187="未检查",L187="通过",L187="不适用"),"",IFERROR(VLOOKUP(M187,'口径与下拉'!$A$9:$B$14,2,FALSE),0)+IFERROR(VLOOKUP(N187,'口径与下拉'!$D$9:$E$14,2,FALSE),0)+O187)</x:f>
      </x:c>
      <x:c r="Q187" s="29" t="str"/>
      <x:c r="R187" s="29" t="str">
        <x:f>IF(P187="","",IF(P187&gt;=13,"P0",IF(P187&gt;=10,"P1",IF(P187&gt;=7,"P2","P3"))))</x:f>
      </x:c>
      <x:c r="S187" s="21" t="str"/>
      <x:c r="T187" s="21" t="str"/>
      <x:c r="U187" s="21" t="str"/>
      <x:c r="V187" s="31" t="str"/>
      <x:c r="W187" s="21" t="str"/>
      <x:c r="X187" s="21" t="str">
        <x:v>未复测</x:v>
      </x:c>
      <x:c r="Y187" s="21" t="str"/>
    </x:row>
    <x:row r="188" ht="52" customHeight="1">
      <x:c r="A188" s="27" t="str">
        <x:v>UX-184</x:v>
      </x:c>
      <x:c r="B188" s="23" t="str">
        <x:v>14 玩具塔与梳洗台小游戏</x:v>
      </x:c>
      <x:c r="C188" s="23" t="str">
        <x:v>小游戏生态</x:v>
      </x:c>
      <x:c r="D188" s="23" t="str">
        <x:v>模式选择/关卡/交换消除</x:v>
      </x:c>
      <x:c r="E188" s="21" t="str">
        <x:v>梳洗台仅允许合法相邻交换</x:v>
      </x:c>
      <x:c r="F188" s="21" t="str">
        <x:v>非法交换回弹且不消耗机会/灵力；合法匹配结算一次</x:v>
      </x:c>
      <x:c r="G188" s="21" t="str">
        <x:v>方向与边界矩阵测试</x:v>
      </x:c>
      <x:c r="H188" s="21" t="str">
        <x:v>理解/操作</x:v>
      </x:c>
      <x:c r="I188" s="21" t="str">
        <x:v>全流程</x:v>
      </x:c>
      <x:c r="J188" s="21" t="str">
        <x:v>全平台</x:v>
      </x:c>
      <x:c r="K188" s="21" t="str"/>
      <x:c r="L188" s="29" t="str">
        <x:v>未检查</x:v>
      </x:c>
      <x:c r="M188" s="29" t="str">
        <x:v>未确认</x:v>
      </x:c>
      <x:c r="N188" s="29" t="str">
        <x:v>未确认</x:v>
      </x:c>
      <x:c r="O188" s="29" t="str"/>
      <x:c r="P188" s="29" t="str">
        <x:f>IF(OR(L188="未检查",L188="通过",L188="不适用"),"",IFERROR(VLOOKUP(M188,'口径与下拉'!$A$9:$B$14,2,FALSE),0)+IFERROR(VLOOKUP(N188,'口径与下拉'!$D$9:$E$14,2,FALSE),0)+O188)</x:f>
      </x:c>
      <x:c r="Q188" s="29" t="str"/>
      <x:c r="R188" s="29" t="str">
        <x:f>IF(P188="","",IF(P188&gt;=13,"P0",IF(P188&gt;=10,"P1",IF(P188&gt;=7,"P2","P3"))))</x:f>
      </x:c>
      <x:c r="S188" s="21" t="str"/>
      <x:c r="T188" s="21" t="str"/>
      <x:c r="U188" s="21" t="str"/>
      <x:c r="V188" s="31" t="str"/>
      <x:c r="W188" s="21" t="str"/>
      <x:c r="X188" s="21" t="str">
        <x:v>未复测</x:v>
      </x:c>
      <x:c r="Y188" s="21" t="str"/>
    </x:row>
    <x:row r="189" ht="52" customHeight="1">
      <x:c r="A189" s="27" t="str">
        <x:v>UX-185</x:v>
      </x:c>
      <x:c r="B189" s="23" t="str">
        <x:v>14 玩具塔与梳洗台小游戏</x:v>
      </x:c>
      <x:c r="C189" s="23" t="str">
        <x:v>小游戏生态</x:v>
      </x:c>
      <x:c r="D189" s="23" t="str">
        <x:v>模式选择/关卡/交换消除</x:v>
      </x:c>
      <x:c r="E189" s="21" t="str">
        <x:v>交换消除目标清晰</x:v>
      </x:c>
      <x:c r="F189" s="21" t="str">
        <x:v>局前、局中、局末都能理解需要消除什么和剩余进度</x:v>
      </x:c>
      <x:c r="G189" s="21" t="str">
        <x:v>新玩家任务复述</x:v>
      </x:c>
      <x:c r="H189" s="21" t="str">
        <x:v>理解/操作</x:v>
      </x:c>
      <x:c r="I189" s="21" t="str">
        <x:v>全流程</x:v>
      </x:c>
      <x:c r="J189" s="21" t="str">
        <x:v>全平台</x:v>
      </x:c>
      <x:c r="K189" s="21" t="str"/>
      <x:c r="L189" s="29" t="str">
        <x:v>未检查</x:v>
      </x:c>
      <x:c r="M189" s="29" t="str">
        <x:v>未确认</x:v>
      </x:c>
      <x:c r="N189" s="29" t="str">
        <x:v>未确认</x:v>
      </x:c>
      <x:c r="O189" s="29" t="str"/>
      <x:c r="P189" s="29" t="str">
        <x:f>IF(OR(L189="未检查",L189="通过",L189="不适用"),"",IFERROR(VLOOKUP(M189,'口径与下拉'!$A$9:$B$14,2,FALSE),0)+IFERROR(VLOOKUP(N189,'口径与下拉'!$D$9:$E$14,2,FALSE),0)+O189)</x:f>
      </x:c>
      <x:c r="Q189" s="29" t="str"/>
      <x:c r="R189" s="29" t="str">
        <x:f>IF(P189="","",IF(P189&gt;=13,"P0",IF(P189&gt;=10,"P1",IF(P189&gt;=7,"P2","P3"))))</x:f>
      </x:c>
      <x:c r="S189" s="21" t="str"/>
      <x:c r="T189" s="21" t="str"/>
      <x:c r="U189" s="21" t="str"/>
      <x:c r="V189" s="31" t="str"/>
      <x:c r="W189" s="21" t="str"/>
      <x:c r="X189" s="21" t="str">
        <x:v>未复测</x:v>
      </x:c>
      <x:c r="Y189" s="21" t="str"/>
    </x:row>
    <x:row r="190" ht="52" customHeight="1">
      <x:c r="A190" s="27" t="str">
        <x:v>UX-186</x:v>
      </x:c>
      <x:c r="B190" s="23" t="str">
        <x:v>14 玩具塔与梳洗台小游戏</x:v>
      </x:c>
      <x:c r="C190" s="23" t="str">
        <x:v>小游戏生态</x:v>
      </x:c>
      <x:c r="D190" s="23" t="str">
        <x:v>模式选择/关卡/交换消除</x:v>
      </x:c>
      <x:c r="E190" s="21" t="str">
        <x:v>连消与掉落结算稳定</x:v>
      </x:c>
      <x:c r="F190" s="21" t="str">
        <x:v>连锁顺序、分数/素材、动画与棋盘稳定态一致</x:v>
      </x:c>
      <x:c r="G190" s="21" t="str">
        <x:v>构造多连锁局面</x:v>
      </x:c>
      <x:c r="H190" s="21" t="str">
        <x:v>数据/手感</x:v>
      </x:c>
      <x:c r="I190" s="21" t="str">
        <x:v>全流程</x:v>
      </x:c>
      <x:c r="J190" s="21" t="str">
        <x:v>全平台</x:v>
      </x:c>
      <x:c r="K190" s="21" t="str"/>
      <x:c r="L190" s="29" t="str">
        <x:v>未检查</x:v>
      </x:c>
      <x:c r="M190" s="29" t="str">
        <x:v>未确认</x:v>
      </x:c>
      <x:c r="N190" s="29" t="str">
        <x:v>未确认</x:v>
      </x:c>
      <x:c r="O190" s="29" t="str"/>
      <x:c r="P190" s="29" t="str">
        <x:f>IF(OR(L190="未检查",L190="通过",L190="不适用"),"",IFERROR(VLOOKUP(M190,'口径与下拉'!$A$9:$B$14,2,FALSE),0)+IFERROR(VLOOKUP(N190,'口径与下拉'!$D$9:$E$14,2,FALSE),0)+O190)</x:f>
      </x:c>
      <x:c r="Q190" s="29" t="str"/>
      <x:c r="R190" s="29" t="str">
        <x:f>IF(P190="","",IF(P190&gt;=13,"P0",IF(P190&gt;=10,"P1",IF(P190&gt;=7,"P2","P3"))))</x:f>
      </x:c>
      <x:c r="S190" s="21" t="str"/>
      <x:c r="T190" s="21" t="str"/>
      <x:c r="U190" s="21" t="str"/>
      <x:c r="V190" s="31" t="str"/>
      <x:c r="W190" s="21" t="str"/>
      <x:c r="X190" s="21" t="str">
        <x:v>未复测</x:v>
      </x:c>
      <x:c r="Y190" s="21" t="str"/>
    </x:row>
    <x:row r="191" ht="52" customHeight="1">
      <x:c r="A191" s="27" t="str">
        <x:v>UX-187</x:v>
      </x:c>
      <x:c r="B191" s="23" t="str">
        <x:v>14 玩具塔与梳洗台小游戏</x:v>
      </x:c>
      <x:c r="C191" s="23" t="str">
        <x:v>小游戏生态</x:v>
      </x:c>
      <x:c r="D191" s="23" t="str">
        <x:v>模式选择/关卡/交换消除</x:v>
      </x:c>
      <x:c r="E191" s="21" t="str">
        <x:v>无可行动作有处理</x:v>
      </x:c>
      <x:c r="F191" s="21" t="str">
        <x:v>自动重排/提示不会改变目标守恒或造成无限循环</x:v>
      </x:c>
      <x:c r="G191" s="21" t="str">
        <x:v>构造无解盘面</x:v>
      </x:c>
      <x:c r="H191" s="21" t="str">
        <x:v>防软锁/数据</x:v>
      </x:c>
      <x:c r="I191" s="21" t="str">
        <x:v>全流程</x:v>
      </x:c>
      <x:c r="J191" s="21" t="str">
        <x:v>全平台</x:v>
      </x:c>
      <x:c r="K191" s="21" t="str"/>
      <x:c r="L191" s="29" t="str">
        <x:v>未检查</x:v>
      </x:c>
      <x:c r="M191" s="29" t="str">
        <x:v>未确认</x:v>
      </x:c>
      <x:c r="N191" s="29" t="str">
        <x:v>未确认</x:v>
      </x:c>
      <x:c r="O191" s="29" t="str"/>
      <x:c r="P191" s="29" t="str">
        <x:f>IF(OR(L191="未检查",L191="通过",L191="不适用"),"",IFERROR(VLOOKUP(M191,'口径与下拉'!$A$9:$B$14,2,FALSE),0)+IFERROR(VLOOKUP(N191,'口径与下拉'!$D$9:$E$14,2,FALSE),0)+O191)</x:f>
      </x:c>
      <x:c r="Q191" s="29" t="str"/>
      <x:c r="R191" s="29" t="str">
        <x:f>IF(P191="","",IF(P191&gt;=13,"P0",IF(P191&gt;=10,"P1",IF(P191&gt;=7,"P2","P3"))))</x:f>
      </x:c>
      <x:c r="S191" s="21" t="str"/>
      <x:c r="T191" s="21" t="str"/>
      <x:c r="U191" s="21" t="str"/>
      <x:c r="V191" s="31" t="str"/>
      <x:c r="W191" s="21" t="str"/>
      <x:c r="X191" s="21" t="str">
        <x:v>未复测</x:v>
      </x:c>
      <x:c r="Y191" s="21" t="str"/>
    </x:row>
    <x:row r="192" ht="52" customHeight="1">
      <x:c r="A192" s="27" t="str">
        <x:v>UX-188</x:v>
      </x:c>
      <x:c r="B192" s="23" t="str">
        <x:v>14 玩具塔与梳洗台小游戏</x:v>
      </x:c>
      <x:c r="C192" s="23" t="str">
        <x:v>小游戏生态</x:v>
      </x:c>
      <x:c r="D192" s="23" t="str">
        <x:v>模式选择/关卡/交换消除</x:v>
      </x:c>
      <x:c r="E192" s="21" t="str">
        <x:v>小游戏加载按需且有进度</x:v>
      </x:c>
      <x:c r="F192" s="21" t="str">
        <x:v>首次进入显示真实加载反馈，失败可安全重试</x:v>
      </x:c>
      <x:c r="G192" s="21" t="str">
        <x:v>限速/断网进入</x:v>
      </x:c>
      <x:c r="H192" s="21" t="str">
        <x:v>等待/稳定性</x:v>
      </x:c>
      <x:c r="I192" s="21" t="str">
        <x:v>核心循环</x:v>
      </x:c>
      <x:c r="J192" s="21" t="str">
        <x:v>弱网/离线</x:v>
      </x:c>
      <x:c r="K192" s="21" t="str"/>
      <x:c r="L192" s="29" t="str">
        <x:v>未检查</x:v>
      </x:c>
      <x:c r="M192" s="29" t="str">
        <x:v>未确认</x:v>
      </x:c>
      <x:c r="N192" s="29" t="str">
        <x:v>未确认</x:v>
      </x:c>
      <x:c r="O192" s="29" t="str"/>
      <x:c r="P192" s="29" t="str">
        <x:f>IF(OR(L192="未检查",L192="通过",L192="不适用"),"",IFERROR(VLOOKUP(M192,'口径与下拉'!$A$9:$B$14,2,FALSE),0)+IFERROR(VLOOKUP(N192,'口径与下拉'!$D$9:$E$14,2,FALSE),0)+O192)</x:f>
      </x:c>
      <x:c r="Q192" s="29" t="str"/>
      <x:c r="R192" s="29" t="str">
        <x:f>IF(P192="","",IF(P192&gt;=13,"P0",IF(P192&gt;=10,"P1",IF(P192&gt;=7,"P2","P3"))))</x:f>
      </x:c>
      <x:c r="S192" s="21" t="str"/>
      <x:c r="T192" s="21" t="str"/>
      <x:c r="U192" s="21" t="str"/>
      <x:c r="V192" s="31" t="str"/>
      <x:c r="W192" s="21" t="str"/>
      <x:c r="X192" s="21" t="str">
        <x:v>未复测</x:v>
      </x:c>
      <x:c r="Y192" s="21" t="str"/>
    </x:row>
    <x:row r="193" ht="52" customHeight="1">
      <x:c r="A193" s="27" t="str">
        <x:v>UX-189</x:v>
      </x:c>
      <x:c r="B193" s="23" t="str">
        <x:v>14 玩具塔与梳洗台小游戏</x:v>
      </x:c>
      <x:c r="C193" s="23" t="str">
        <x:v>小游戏生态</x:v>
      </x:c>
      <x:c r="D193" s="23" t="str">
        <x:v>模式选择/关卡/交换消除</x:v>
      </x:c>
      <x:c r="E193" s="21" t="str">
        <x:v>加载失败不扣灵力</x:v>
      </x:c>
      <x:c r="F193" s="21" t="str">
        <x:v>失败前后灵力、局数、奖励与存档均不变</x:v>
      </x:c>
      <x:c r="G193" s="21" t="str">
        <x:v>网络故障注入</x:v>
      </x:c>
      <x:c r="H193" s="21" t="str">
        <x:v>数据/信任</x:v>
      </x:c>
      <x:c r="I193" s="21" t="str">
        <x:v>全流程</x:v>
      </x:c>
      <x:c r="J193" s="21" t="str">
        <x:v>全平台</x:v>
      </x:c>
      <x:c r="K193" s="21" t="str"/>
      <x:c r="L193" s="29" t="str">
        <x:v>未检查</x:v>
      </x:c>
      <x:c r="M193" s="29" t="str">
        <x:v>未确认</x:v>
      </x:c>
      <x:c r="N193" s="29" t="str">
        <x:v>未确认</x:v>
      </x:c>
      <x:c r="O193" s="29" t="str"/>
      <x:c r="P193" s="29" t="str">
        <x:f>IF(OR(L193="未检查",L193="通过",L193="不适用"),"",IFERROR(VLOOKUP(M193,'口径与下拉'!$A$9:$B$14,2,FALSE),0)+IFERROR(VLOOKUP(N193,'口径与下拉'!$D$9:$E$14,2,FALSE),0)+O193)</x:f>
      </x:c>
      <x:c r="Q193" s="29" t="str"/>
      <x:c r="R193" s="29" t="str">
        <x:f>IF(P193="","",IF(P193&gt;=13,"P0",IF(P193&gt;=10,"P1",IF(P193&gt;=7,"P2","P3"))))</x:f>
      </x:c>
      <x:c r="S193" s="21" t="str"/>
      <x:c r="T193" s="21" t="str"/>
      <x:c r="U193" s="21" t="str"/>
      <x:c r="V193" s="31" t="str"/>
      <x:c r="W193" s="21" t="str"/>
      <x:c r="X193" s="21" t="str">
        <x:v>未复测</x:v>
      </x:c>
      <x:c r="Y193" s="21" t="str"/>
    </x:row>
    <x:row r="194" ht="52" customHeight="1">
      <x:c r="A194" s="27" t="str">
        <x:v>UX-190</x:v>
      </x:c>
      <x:c r="B194" s="23" t="str">
        <x:v>14 玩具塔与梳洗台小游戏</x:v>
      </x:c>
      <x:c r="C194" s="23" t="str">
        <x:v>小游戏生态</x:v>
      </x:c>
      <x:c r="D194" s="23" t="str">
        <x:v>模式选择/关卡/交换消除</x:v>
      </x:c>
      <x:c r="E194" s="21" t="str">
        <x:v>结算页奖励、表现与实际一致</x:v>
      </x:c>
      <x:c r="F194" s="21" t="str">
        <x:v>素材、羁绊、分数和下一步均可核对</x:v>
      </x:c>
      <x:c r="G194" s="21" t="str">
        <x:v>结算前后状态差值</x:v>
      </x:c>
      <x:c r="H194" s="21" t="str">
        <x:v>理解/操作</x:v>
      </x:c>
      <x:c r="I194" s="21" t="str">
        <x:v>全流程</x:v>
      </x:c>
      <x:c r="J194" s="21" t="str">
        <x:v>全平台</x:v>
      </x:c>
      <x:c r="K194" s="21" t="str"/>
      <x:c r="L194" s="29" t="str">
        <x:v>未检查</x:v>
      </x:c>
      <x:c r="M194" s="29" t="str">
        <x:v>未确认</x:v>
      </x:c>
      <x:c r="N194" s="29" t="str">
        <x:v>未确认</x:v>
      </x:c>
      <x:c r="O194" s="29" t="str"/>
      <x:c r="P194" s="29" t="str">
        <x:f>IF(OR(L194="未检查",L194="通过",L194="不适用"),"",IFERROR(VLOOKUP(M194,'口径与下拉'!$A$9:$B$14,2,FALSE),0)+IFERROR(VLOOKUP(N194,'口径与下拉'!$D$9:$E$14,2,FALSE),0)+O194)</x:f>
      </x:c>
      <x:c r="Q194" s="29" t="str"/>
      <x:c r="R194" s="29" t="str">
        <x:f>IF(P194="","",IF(P194&gt;=13,"P0",IF(P194&gt;=10,"P1",IF(P194&gt;=7,"P2","P3"))))</x:f>
      </x:c>
      <x:c r="S194" s="21" t="str"/>
      <x:c r="T194" s="21" t="str"/>
      <x:c r="U194" s="21" t="str"/>
      <x:c r="V194" s="31" t="str"/>
      <x:c r="W194" s="21" t="str"/>
      <x:c r="X194" s="21" t="str">
        <x:v>未复测</x:v>
      </x:c>
      <x:c r="Y194" s="21" t="str"/>
    </x:row>
    <x:row r="195" ht="52" customHeight="1">
      <x:c r="A195" s="27" t="str">
        <x:v>UX-191</x:v>
      </x:c>
      <x:c r="B195" s="23" t="str">
        <x:v>14 玩具塔与梳洗台小游戏</x:v>
      </x:c>
      <x:c r="C195" s="23" t="str">
        <x:v>小游戏生态</x:v>
      </x:c>
      <x:c r="D195" s="23" t="str">
        <x:v>模式选择/关卡/交换消除</x:v>
      </x:c>
      <x:c r="E195" s="21" t="str">
        <x:v>小游戏与疗愈主题相连</x:v>
      </x:c>
      <x:c r="F195" s="21" t="str">
        <x:v>不是孤立换皮；结果明确回流照料、合并或成长</x:v>
      </x:c>
      <x:c r="G195" s="21" t="str">
        <x:v>会话闭环观察</x:v>
      </x:c>
      <x:c r="H195" s="21" t="str">
        <x:v>核心循环/品牌</x:v>
      </x:c>
      <x:c r="I195" s="21" t="str">
        <x:v>全流程</x:v>
      </x:c>
      <x:c r="J195" s="21" t="str">
        <x:v>全平台</x:v>
      </x:c>
      <x:c r="K195" s="21" t="str"/>
      <x:c r="L195" s="29" t="str">
        <x:v>未检查</x:v>
      </x:c>
      <x:c r="M195" s="29" t="str">
        <x:v>未确认</x:v>
      </x:c>
      <x:c r="N195" s="29" t="str">
        <x:v>未确认</x:v>
      </x:c>
      <x:c r="O195" s="29" t="str"/>
      <x:c r="P195" s="29" t="str">
        <x:f>IF(OR(L195="未检查",L195="通过",L195="不适用"),"",IFERROR(VLOOKUP(M195,'口径与下拉'!$A$9:$B$14,2,FALSE),0)+IFERROR(VLOOKUP(N195,'口径与下拉'!$D$9:$E$14,2,FALSE),0)+O195)</x:f>
      </x:c>
      <x:c r="Q195" s="29" t="str"/>
      <x:c r="R195" s="29" t="str">
        <x:f>IF(P195="","",IF(P195&gt;=13,"P0",IF(P195&gt;=10,"P1",IF(P195&gt;=7,"P2","P3"))))</x:f>
      </x:c>
      <x:c r="S195" s="21" t="str"/>
      <x:c r="T195" s="21" t="str"/>
      <x:c r="U195" s="21" t="str"/>
      <x:c r="V195" s="31" t="str"/>
      <x:c r="W195" s="21" t="str"/>
      <x:c r="X195" s="21" t="str">
        <x:v>未复测</x:v>
      </x:c>
      <x:c r="Y195" s="21" t="str"/>
    </x:row>
    <x:row r="196" ht="52" customHeight="1">
      <x:c r="A196" s="27" t="str">
        <x:v>UX-192</x:v>
      </x:c>
      <x:c r="B196" s="23" t="str">
        <x:v>14 玩具塔与梳洗台小游戏</x:v>
      </x:c>
      <x:c r="C196" s="23" t="str">
        <x:v>小游戏生态</x:v>
      </x:c>
      <x:c r="D196" s="23" t="str">
        <x:v>模式选择/关卡/交换消除</x:v>
      </x:c>
      <x:c r="E196" s="21" t="str">
        <x:v>重复游玩不过早疲劳</x:v>
      </x:c>
      <x:c r="F196" s="21" t="str">
        <x:v>节奏、目标、反馈或关卡变化足以支撑日常重复</x:v>
      </x:c>
      <x:c r="G196" s="21" t="str">
        <x:v>连续 10 局体验记录</x:v>
      </x:c>
      <x:c r="H196" s="21" t="str">
        <x:v>留存/节奏</x:v>
      </x:c>
      <x:c r="I196" s="21" t="str">
        <x:v>全流程</x:v>
      </x:c>
      <x:c r="J196" s="21" t="str">
        <x:v>全平台</x:v>
      </x:c>
      <x:c r="K196" s="21" t="str"/>
      <x:c r="L196" s="29" t="str">
        <x:v>未检查</x:v>
      </x:c>
      <x:c r="M196" s="29" t="str">
        <x:v>未确认</x:v>
      </x:c>
      <x:c r="N196" s="29" t="str">
        <x:v>未确认</x:v>
      </x:c>
      <x:c r="O196" s="29" t="str"/>
      <x:c r="P196" s="29" t="str">
        <x:f>IF(OR(L196="未检查",L196="通过",L196="不适用"),"",IFERROR(VLOOKUP(M196,'口径与下拉'!$A$9:$B$14,2,FALSE),0)+IFERROR(VLOOKUP(N196,'口径与下拉'!$D$9:$E$14,2,FALSE),0)+O196)</x:f>
      </x:c>
      <x:c r="Q196" s="29" t="str"/>
      <x:c r="R196" s="29" t="str">
        <x:f>IF(P196="","",IF(P196&gt;=13,"P0",IF(P196&gt;=10,"P1",IF(P196&gt;=7,"P2","P3"))))</x:f>
      </x:c>
      <x:c r="S196" s="21" t="str"/>
      <x:c r="T196" s="21" t="str"/>
      <x:c r="U196" s="21" t="str"/>
      <x:c r="V196" s="31" t="str"/>
      <x:c r="W196" s="21" t="str"/>
      <x:c r="X196" s="21" t="str">
        <x:v>未复测</x:v>
      </x:c>
      <x:c r="Y196" s="21" t="str"/>
    </x:row>
    <x:row r="197" ht="52" customHeight="1">
      <x:c r="A197" s="27" t="str">
        <x:v>UX-193</x:v>
      </x:c>
      <x:c r="B197" s="23" t="str">
        <x:v>15 剧情、卷章、图鉴与旅程</x:v>
      </x:c>
      <x:c r="C197" s="23" t="str">
        <x:v>叙事与收集</x:v>
      </x:c>
      <x:c r="D197" s="23" t="str">
        <x:v>剧情选择/山海册/旅程</x:v>
      </x:c>
      <x:c r="E197" s="21" t="str">
        <x:v>唯一卷章顺序不可跳过</x:v>
      </x:c>
      <x:c r="F197" s="21" t="str">
        <x:v>首修→故事与修缮→照料→蜕变→首次岗位→完成衔接严格成立</x:v>
      </x:c>
      <x:c r="G197" s="21" t="str">
        <x:v>12 卷状态机路径测试</x:v>
      </x:c>
      <x:c r="H197" s="21" t="str">
        <x:v>叙事/数据</x:v>
      </x:c>
      <x:c r="I197" s="21" t="str">
        <x:v>全流程</x:v>
      </x:c>
      <x:c r="J197" s="21" t="str">
        <x:v>全平台</x:v>
      </x:c>
      <x:c r="K197" s="21" t="str"/>
      <x:c r="L197" s="29" t="str">
        <x:v>未检查</x:v>
      </x:c>
      <x:c r="M197" s="29" t="str">
        <x:v>未确认</x:v>
      </x:c>
      <x:c r="N197" s="29" t="str">
        <x:v>未确认</x:v>
      </x:c>
      <x:c r="O197" s="29" t="str"/>
      <x:c r="P197" s="29" t="str">
        <x:f>IF(OR(L197="未检查",L197="通过",L197="不适用"),"",IFERROR(VLOOKUP(M197,'口径与下拉'!$A$9:$B$14,2,FALSE),0)+IFERROR(VLOOKUP(N197,'口径与下拉'!$D$9:$E$14,2,FALSE),0)+O197)</x:f>
      </x:c>
      <x:c r="Q197" s="29" t="str"/>
      <x:c r="R197" s="29" t="str">
        <x:f>IF(P197="","",IF(P197&gt;=13,"P0",IF(P197&gt;=10,"P1",IF(P197&gt;=7,"P2","P3"))))</x:f>
      </x:c>
      <x:c r="S197" s="21" t="str"/>
      <x:c r="T197" s="21" t="str"/>
      <x:c r="U197" s="21" t="str"/>
      <x:c r="V197" s="31" t="str"/>
      <x:c r="W197" s="21" t="str"/>
      <x:c r="X197" s="21" t="str">
        <x:v>未复测</x:v>
      </x:c>
      <x:c r="Y197" s="21" t="str"/>
    </x:row>
    <x:row r="198" ht="52" customHeight="1">
      <x:c r="A198" s="27" t="str">
        <x:v>UX-194</x:v>
      </x:c>
      <x:c r="B198" s="23" t="str">
        <x:v>15 剧情、卷章、图鉴与旅程</x:v>
      </x:c>
      <x:c r="C198" s="23" t="str">
        <x:v>叙事与收集</x:v>
      </x:c>
      <x:c r="D198" s="23" t="str">
        <x:v>剧情选择/山海册/旅程</x:v>
      </x:c>
      <x:c r="E198" s="21" t="str">
        <x:v>卷一首段故事解锁时机正确</x:v>
      </x:c>
      <x:c r="F198" s="21" t="str">
        <x:v>仅在山门首次修缮后开放</x:v>
      </x:c>
      <x:c r="G198" s="21" t="str">
        <x:v>节点前后对比</x:v>
      </x:c>
      <x:c r="H198" s="21" t="str">
        <x:v>理解/操作</x:v>
      </x:c>
      <x:c r="I198" s="21" t="str">
        <x:v>全流程</x:v>
      </x:c>
      <x:c r="J198" s="21" t="str">
        <x:v>全平台</x:v>
      </x:c>
      <x:c r="K198" s="21" t="str"/>
      <x:c r="L198" s="29" t="str">
        <x:v>未检查</x:v>
      </x:c>
      <x:c r="M198" s="29" t="str">
        <x:v>未确认</x:v>
      </x:c>
      <x:c r="N198" s="29" t="str">
        <x:v>未确认</x:v>
      </x:c>
      <x:c r="O198" s="29" t="str"/>
      <x:c r="P198" s="29" t="str">
        <x:f>IF(OR(L198="未检查",L198="通过",L198="不适用"),"",IFERROR(VLOOKUP(M198,'口径与下拉'!$A$9:$B$14,2,FALSE),0)+IFERROR(VLOOKUP(N198,'口径与下拉'!$D$9:$E$14,2,FALSE),0)+O198)</x:f>
      </x:c>
      <x:c r="Q198" s="29" t="str"/>
      <x:c r="R198" s="29" t="str">
        <x:f>IF(P198="","",IF(P198&gt;=13,"P0",IF(P198&gt;=10,"P1",IF(P198&gt;=7,"P2","P3"))))</x:f>
      </x:c>
      <x:c r="S198" s="21" t="str"/>
      <x:c r="T198" s="21" t="str"/>
      <x:c r="U198" s="21" t="str"/>
      <x:c r="V198" s="31" t="str"/>
      <x:c r="W198" s="21" t="str"/>
      <x:c r="X198" s="21" t="str">
        <x:v>未复测</x:v>
      </x:c>
      <x:c r="Y198" s="21" t="str"/>
    </x:row>
    <x:row r="199" ht="52" customHeight="1">
      <x:c r="A199" s="27" t="str">
        <x:v>UX-195</x:v>
      </x:c>
      <x:c r="B199" s="23" t="str">
        <x:v>15 剧情、卷章、图鉴与旅程</x:v>
      </x:c>
      <x:c r="C199" s="23" t="str">
        <x:v>叙事与收集</x:v>
      </x:c>
      <x:c r="D199" s="23" t="str">
        <x:v>剧情选择/山海册/旅程</x:v>
      </x:c>
      <x:c r="E199" s="21" t="str">
        <x:v>后续故事与修缮可并行</x:v>
      </x:c>
      <x:c r="F199" s="21" t="str">
        <x:v>不会错误要求全修完才看故事，也不会提前开放照料</x:v>
      </x:c>
      <x:c r="G199" s="21" t="str">
        <x:v>卷章多顺序操作</x:v>
      </x:c>
      <x:c r="H199" s="21" t="str">
        <x:v>理解/操作</x:v>
      </x:c>
      <x:c r="I199" s="21" t="str">
        <x:v>全流程</x:v>
      </x:c>
      <x:c r="J199" s="21" t="str">
        <x:v>全平台</x:v>
      </x:c>
      <x:c r="K199" s="21" t="str"/>
      <x:c r="L199" s="29" t="str">
        <x:v>未检查</x:v>
      </x:c>
      <x:c r="M199" s="29" t="str">
        <x:v>未确认</x:v>
      </x:c>
      <x:c r="N199" s="29" t="str">
        <x:v>未确认</x:v>
      </x:c>
      <x:c r="O199" s="29" t="str"/>
      <x:c r="P199" s="29" t="str">
        <x:f>IF(OR(L199="未检查",L199="通过",L199="不适用"),"",IFERROR(VLOOKUP(M199,'口径与下拉'!$A$9:$B$14,2,FALSE),0)+IFERROR(VLOOKUP(N199,'口径与下拉'!$D$9:$E$14,2,FALSE),0)+O199)</x:f>
      </x:c>
      <x:c r="Q199" s="29" t="str"/>
      <x:c r="R199" s="29" t="str">
        <x:f>IF(P199="","",IF(P199&gt;=13,"P0",IF(P199&gt;=10,"P1",IF(P199&gt;=7,"P2","P3"))))</x:f>
      </x:c>
      <x:c r="S199" s="21" t="str"/>
      <x:c r="T199" s="21" t="str"/>
      <x:c r="U199" s="21" t="str"/>
      <x:c r="V199" s="31" t="str"/>
      <x:c r="W199" s="21" t="str"/>
      <x:c r="X199" s="21" t="str">
        <x:v>未复测</x:v>
      </x:c>
      <x:c r="Y199" s="21" t="str"/>
    </x:row>
    <x:row r="200" ht="52" customHeight="1">
      <x:c r="A200" s="27" t="str">
        <x:v>UX-196</x:v>
      </x:c>
      <x:c r="B200" s="23" t="str">
        <x:v>15 剧情、卷章、图鉴与旅程</x:v>
      </x:c>
      <x:c r="C200" s="23" t="str">
        <x:v>叙事与收集</x:v>
      </x:c>
      <x:c r="D200" s="23" t="str">
        <x:v>剧情选择/山海册/旅程</x:v>
      </x:c>
      <x:c r="E200" s="21" t="str">
        <x:v>照料等待三段故事与本卷修缮</x:v>
      </x:c>
      <x:c r="F200" s="21" t="str">
        <x:v>未满足时解释缺口；满足后立即开放</x:v>
      </x:c>
      <x:c r="G200" s="21" t="str">
        <x:v>边界状态测试</x:v>
      </x:c>
      <x:c r="H200" s="21" t="str">
        <x:v>理解/防软锁</x:v>
      </x:c>
      <x:c r="I200" s="21" t="str">
        <x:v>全流程</x:v>
      </x:c>
      <x:c r="J200" s="21" t="str">
        <x:v>全平台</x:v>
      </x:c>
      <x:c r="K200" s="21" t="str"/>
      <x:c r="L200" s="29" t="str">
        <x:v>未检查</x:v>
      </x:c>
      <x:c r="M200" s="29" t="str">
        <x:v>未确认</x:v>
      </x:c>
      <x:c r="N200" s="29" t="str">
        <x:v>未确认</x:v>
      </x:c>
      <x:c r="O200" s="29" t="str"/>
      <x:c r="P200" s="29" t="str">
        <x:f>IF(OR(L200="未检查",L200="通过",L200="不适用"),"",IFERROR(VLOOKUP(M200,'口径与下拉'!$A$9:$B$14,2,FALSE),0)+IFERROR(VLOOKUP(N200,'口径与下拉'!$D$9:$E$14,2,FALSE),0)+O200)</x:f>
      </x:c>
      <x:c r="Q200" s="29" t="str"/>
      <x:c r="R200" s="29" t="str">
        <x:f>IF(P200="","",IF(P200&gt;=13,"P0",IF(P200&gt;=10,"P1",IF(P200&gt;=7,"P2","P3"))))</x:f>
      </x:c>
      <x:c r="S200" s="21" t="str"/>
      <x:c r="T200" s="21" t="str"/>
      <x:c r="U200" s="21" t="str"/>
      <x:c r="V200" s="31" t="str"/>
      <x:c r="W200" s="21" t="str"/>
      <x:c r="X200" s="21" t="str">
        <x:v>未复测</x:v>
      </x:c>
      <x:c r="Y200" s="21" t="str"/>
    </x:row>
    <x:row r="201" ht="52" customHeight="1">
      <x:c r="A201" s="27" t="str">
        <x:v>UX-197</x:v>
      </x:c>
      <x:c r="B201" s="23" t="str">
        <x:v>15 剧情、卷章、图鉴与旅程</x:v>
      </x:c>
      <x:c r="C201" s="23" t="str">
        <x:v>叙事与收集</x:v>
      </x:c>
      <x:c r="D201" s="23" t="str">
        <x:v>剧情选择/山海册/旅程</x:v>
      </x:c>
      <x:c r="E201" s="21" t="str">
        <x:v>前三兽解锁第一段结局</x:v>
      </x:c>
      <x:c r="F201" s="21" t="str">
        <x:v>少于三只不开放；刚完成第三只只触发一次</x:v>
      </x:c>
      <x:c r="G201" s="21" t="str">
        <x:v>2→3 兽节点测试</x:v>
      </x:c>
      <x:c r="H201" s="21" t="str">
        <x:v>理解/操作</x:v>
      </x:c>
      <x:c r="I201" s="21" t="str">
        <x:v>全流程</x:v>
      </x:c>
      <x:c r="J201" s="21" t="str">
        <x:v>全平台</x:v>
      </x:c>
      <x:c r="K201" s="21" t="str"/>
      <x:c r="L201" s="29" t="str">
        <x:v>未检查</x:v>
      </x:c>
      <x:c r="M201" s="29" t="str">
        <x:v>未确认</x:v>
      </x:c>
      <x:c r="N201" s="29" t="str">
        <x:v>未确认</x:v>
      </x:c>
      <x:c r="O201" s="29" t="str"/>
      <x:c r="P201" s="29" t="str">
        <x:f>IF(OR(L201="未检查",L201="通过",L201="不适用"),"",IFERROR(VLOOKUP(M201,'口径与下拉'!$A$9:$B$14,2,FALSE),0)+IFERROR(VLOOKUP(N201,'口径与下拉'!$D$9:$E$14,2,FALSE),0)+O201)</x:f>
      </x:c>
      <x:c r="Q201" s="29" t="str"/>
      <x:c r="R201" s="29" t="str">
        <x:f>IF(P201="","",IF(P201&gt;=13,"P0",IF(P201&gt;=10,"P1",IF(P201&gt;=7,"P2","P3"))))</x:f>
      </x:c>
      <x:c r="S201" s="21" t="str"/>
      <x:c r="T201" s="21" t="str"/>
      <x:c r="U201" s="21" t="str"/>
      <x:c r="V201" s="31" t="str"/>
      <x:c r="W201" s="21" t="str"/>
      <x:c r="X201" s="21" t="str">
        <x:v>未复测</x:v>
      </x:c>
      <x:c r="Y201" s="21" t="str"/>
    </x:row>
    <x:row r="202" ht="52" customHeight="1">
      <x:c r="A202" s="27" t="str">
        <x:v>UX-198</x:v>
      </x:c>
      <x:c r="B202" s="23" t="str">
        <x:v>15 剧情、卷章、图鉴与旅程</x:v>
      </x:c>
      <x:c r="C202" s="23" t="str">
        <x:v>叙事与收集</x:v>
      </x:c>
      <x:c r="D202" s="23" t="str">
        <x:v>剧情选择/山海册/旅程</x:v>
      </x:c>
      <x:c r="E202" s="21" t="str">
        <x:v>12 兽完成才开放山海终章</x:v>
      </x:c>
      <x:c r="F202" s="21" t="str">
        <x:v>任何未完成兽都不提前解锁；完成后衔接清晰</x:v>
      </x:c>
      <x:c r="G202" s="21" t="str">
        <x:v>11→12 兽节点测试</x:v>
      </x:c>
      <x:c r="H202" s="21" t="str">
        <x:v>理解/操作</x:v>
      </x:c>
      <x:c r="I202" s="21" t="str">
        <x:v>全流程</x:v>
      </x:c>
      <x:c r="J202" s="21" t="str">
        <x:v>全平台</x:v>
      </x:c>
      <x:c r="K202" s="21" t="str"/>
      <x:c r="L202" s="29" t="str">
        <x:v>未检查</x:v>
      </x:c>
      <x:c r="M202" s="29" t="str">
        <x:v>未确认</x:v>
      </x:c>
      <x:c r="N202" s="29" t="str">
        <x:v>未确认</x:v>
      </x:c>
      <x:c r="O202" s="29" t="str"/>
      <x:c r="P202" s="29" t="str">
        <x:f>IF(OR(L202="未检查",L202="通过",L202="不适用"),"",IFERROR(VLOOKUP(M202,'口径与下拉'!$A$9:$B$14,2,FALSE),0)+IFERROR(VLOOKUP(N202,'口径与下拉'!$D$9:$E$14,2,FALSE),0)+O202)</x:f>
      </x:c>
      <x:c r="Q202" s="29" t="str"/>
      <x:c r="R202" s="29" t="str">
        <x:f>IF(P202="","",IF(P202&gt;=13,"P0",IF(P202&gt;=10,"P1",IF(P202&gt;=7,"P2","P3"))))</x:f>
      </x:c>
      <x:c r="S202" s="21" t="str"/>
      <x:c r="T202" s="21" t="str"/>
      <x:c r="U202" s="21" t="str"/>
      <x:c r="V202" s="31" t="str"/>
      <x:c r="W202" s="21" t="str"/>
      <x:c r="X202" s="21" t="str">
        <x:v>未复测</x:v>
      </x:c>
      <x:c r="Y202" s="21" t="str"/>
    </x:row>
    <x:row r="203" ht="52" customHeight="1">
      <x:c r="A203" s="27" t="str">
        <x:v>UX-199</x:v>
      </x:c>
      <x:c r="B203" s="23" t="str">
        <x:v>15 剧情、卷章、图鉴与旅程</x:v>
      </x:c>
      <x:c r="C203" s="23" t="str">
        <x:v>叙事与收集</x:v>
      </x:c>
      <x:c r="D203" s="23" t="str">
        <x:v>剧情选择/山海册/旅程</x:v>
      </x:c>
      <x:c r="E203" s="21" t="str">
        <x:v>剧情选择不会破坏主线</x:v>
      </x:c>
      <x:c r="F203" s="21" t="str">
        <x:v>选择结果、记录、奖励和后续文本一致，无假选择误导</x:v>
      </x:c>
      <x:c r="G203" s="21" t="str">
        <x:v>遍历选择与重载</x:v>
      </x:c>
      <x:c r="H203" s="21" t="str">
        <x:v>叙事/信任</x:v>
      </x:c>
      <x:c r="I203" s="21" t="str">
        <x:v>全流程</x:v>
      </x:c>
      <x:c r="J203" s="21" t="str">
        <x:v>全平台</x:v>
      </x:c>
      <x:c r="K203" s="21" t="str"/>
      <x:c r="L203" s="29" t="str">
        <x:v>未检查</x:v>
      </x:c>
      <x:c r="M203" s="29" t="str">
        <x:v>未确认</x:v>
      </x:c>
      <x:c r="N203" s="29" t="str">
        <x:v>未确认</x:v>
      </x:c>
      <x:c r="O203" s="29" t="str"/>
      <x:c r="P203" s="29" t="str">
        <x:f>IF(OR(L203="未检查",L203="通过",L203="不适用"),"",IFERROR(VLOOKUP(M203,'口径与下拉'!$A$9:$B$14,2,FALSE),0)+IFERROR(VLOOKUP(N203,'口径与下拉'!$D$9:$E$14,2,FALSE),0)+O203)</x:f>
      </x:c>
      <x:c r="Q203" s="29" t="str"/>
      <x:c r="R203" s="29" t="str">
        <x:f>IF(P203="","",IF(P203&gt;=13,"P0",IF(P203&gt;=10,"P1",IF(P203&gt;=7,"P2","P3"))))</x:f>
      </x:c>
      <x:c r="S203" s="21" t="str"/>
      <x:c r="T203" s="21" t="str"/>
      <x:c r="U203" s="21" t="str"/>
      <x:c r="V203" s="31" t="str"/>
      <x:c r="W203" s="21" t="str"/>
      <x:c r="X203" s="21" t="str">
        <x:v>未复测</x:v>
      </x:c>
      <x:c r="Y203" s="21" t="str"/>
    </x:row>
    <x:row r="204" ht="52" customHeight="1">
      <x:c r="A204" s="27" t="str">
        <x:v>UX-200</x:v>
      </x:c>
      <x:c r="B204" s="23" t="str">
        <x:v>15 剧情、卷章、图鉴与旅程</x:v>
      </x:c>
      <x:c r="C204" s="23" t="str">
        <x:v>叙事与收集</x:v>
      </x:c>
      <x:c r="D204" s="23" t="str">
        <x:v>剧情选择/山海册/旅程</x:v>
      </x:c>
      <x:c r="E204" s="21" t="str">
        <x:v>剧情文本适合移动阅读</x:v>
      </x:c>
      <x:c r="F204" s="21" t="str">
        <x:v>段落、行长、点击翻页、自动滚动与返回位置舒适</x:v>
      </x:c>
      <x:c r="G204" s="21" t="str">
        <x:v>小屏长文本阅读</x:v>
      </x:c>
      <x:c r="H204" s="21" t="str">
        <x:v>理解/操作</x:v>
      </x:c>
      <x:c r="I204" s="21" t="str">
        <x:v>全流程</x:v>
      </x:c>
      <x:c r="J204" s="21" t="str">
        <x:v>全平台</x:v>
      </x:c>
      <x:c r="K204" s="21" t="str"/>
      <x:c r="L204" s="29" t="str">
        <x:v>未检查</x:v>
      </x:c>
      <x:c r="M204" s="29" t="str">
        <x:v>未确认</x:v>
      </x:c>
      <x:c r="N204" s="29" t="str">
        <x:v>未确认</x:v>
      </x:c>
      <x:c r="O204" s="29" t="str"/>
      <x:c r="P204" s="29" t="str">
        <x:f>IF(OR(L204="未检查",L204="通过",L204="不适用"),"",IFERROR(VLOOKUP(M204,'口径与下拉'!$A$9:$B$14,2,FALSE),0)+IFERROR(VLOOKUP(N204,'口径与下拉'!$D$9:$E$14,2,FALSE),0)+O204)</x:f>
      </x:c>
      <x:c r="Q204" s="29" t="str"/>
      <x:c r="R204" s="29" t="str">
        <x:f>IF(P204="","",IF(P204&gt;=13,"P0",IF(P204&gt;=10,"P1",IF(P204&gt;=7,"P2","P3"))))</x:f>
      </x:c>
      <x:c r="S204" s="21" t="str"/>
      <x:c r="T204" s="21" t="str"/>
      <x:c r="U204" s="21" t="str"/>
      <x:c r="V204" s="31" t="str"/>
      <x:c r="W204" s="21" t="str"/>
      <x:c r="X204" s="21" t="str">
        <x:v>未复测</x:v>
      </x:c>
      <x:c r="Y204" s="21" t="str"/>
    </x:row>
    <x:row r="205" ht="52" customHeight="1">
      <x:c r="A205" s="27" t="str">
        <x:v>UX-201</x:v>
      </x:c>
      <x:c r="B205" s="23" t="str">
        <x:v>15 剧情、卷章、图鉴与旅程</x:v>
      </x:c>
      <x:c r="C205" s="23" t="str">
        <x:v>叙事与收集</x:v>
      </x:c>
      <x:c r="D205" s="23" t="str">
        <x:v>剧情选择/山海册/旅程</x:v>
      </x:c>
      <x:c r="E205" s="21" t="str">
        <x:v>跳过/回看规则清晰</x:v>
      </x:c>
      <x:c r="F205" s="21" t="str">
        <x:v>若可跳过，不丢关键奖励/状态；已读内容可从旅程记录回看</x:v>
      </x:c>
      <x:c r="G205" s="21" t="str">
        <x:v>跳过、退出、回看</x:v>
      </x:c>
      <x:c r="H205" s="21" t="str">
        <x:v>理解/操作</x:v>
      </x:c>
      <x:c r="I205" s="21" t="str">
        <x:v>全流程</x:v>
      </x:c>
      <x:c r="J205" s="21" t="str">
        <x:v>全平台</x:v>
      </x:c>
      <x:c r="K205" s="21" t="str"/>
      <x:c r="L205" s="29" t="str">
        <x:v>未检查</x:v>
      </x:c>
      <x:c r="M205" s="29" t="str">
        <x:v>未确认</x:v>
      </x:c>
      <x:c r="N205" s="29" t="str">
        <x:v>未确认</x:v>
      </x:c>
      <x:c r="O205" s="29" t="str"/>
      <x:c r="P205" s="29" t="str">
        <x:f>IF(OR(L205="未检查",L205="通过",L205="不适用"),"",IFERROR(VLOOKUP(M205,'口径与下拉'!$A$9:$B$14,2,FALSE),0)+IFERROR(VLOOKUP(N205,'口径与下拉'!$D$9:$E$14,2,FALSE),0)+O205)</x:f>
      </x:c>
      <x:c r="Q205" s="29" t="str"/>
      <x:c r="R205" s="29" t="str">
        <x:f>IF(P205="","",IF(P205&gt;=13,"P0",IF(P205&gt;=10,"P1",IF(P205&gt;=7,"P2","P3"))))</x:f>
      </x:c>
      <x:c r="S205" s="21" t="str"/>
      <x:c r="T205" s="21" t="str"/>
      <x:c r="U205" s="21" t="str"/>
      <x:c r="V205" s="31" t="str"/>
      <x:c r="W205" s="21" t="str"/>
      <x:c r="X205" s="21" t="str">
        <x:v>未复测</x:v>
      </x:c>
      <x:c r="Y205" s="21" t="str"/>
    </x:row>
    <x:row r="206" ht="52" customHeight="1">
      <x:c r="A206" s="27" t="str">
        <x:v>UX-202</x:v>
      </x:c>
      <x:c r="B206" s="23" t="str">
        <x:v>15 剧情、卷章、图鉴与旅程</x:v>
      </x:c>
      <x:c r="C206" s="23" t="str">
        <x:v>叙事与收集</x:v>
      </x:c>
      <x:c r="D206" s="23" t="str">
        <x:v>剧情选择/山海册/旅程</x:v>
      </x:c>
      <x:c r="E206" s="21" t="str">
        <x:v>图鉴未知态不过度剧透</x:v>
      </x:c>
      <x:c r="F206" s="21" t="str">
        <x:v>剪影、锁定原因和收集目标恰当，不泄露关键剧情</x:v>
      </x:c>
      <x:c r="G206" s="21" t="str">
        <x:v>新档图鉴检查</x:v>
      </x:c>
      <x:c r="H206" s="21" t="str">
        <x:v>理解/操作</x:v>
      </x:c>
      <x:c r="I206" s="21" t="str">
        <x:v>全流程</x:v>
      </x:c>
      <x:c r="J206" s="21" t="str">
        <x:v>全平台</x:v>
      </x:c>
      <x:c r="K206" s="21" t="str"/>
      <x:c r="L206" s="29" t="str">
        <x:v>未检查</x:v>
      </x:c>
      <x:c r="M206" s="29" t="str">
        <x:v>未确认</x:v>
      </x:c>
      <x:c r="N206" s="29" t="str">
        <x:v>未确认</x:v>
      </x:c>
      <x:c r="O206" s="29" t="str"/>
      <x:c r="P206" s="29" t="str">
        <x:f>IF(OR(L206="未检查",L206="通过",L206="不适用"),"",IFERROR(VLOOKUP(M206,'口径与下拉'!$A$9:$B$14,2,FALSE),0)+IFERROR(VLOOKUP(N206,'口径与下拉'!$D$9:$E$14,2,FALSE),0)+O206)</x:f>
      </x:c>
      <x:c r="Q206" s="29" t="str"/>
      <x:c r="R206" s="29" t="str">
        <x:f>IF(P206="","",IF(P206&gt;=13,"P0",IF(P206&gt;=10,"P1",IF(P206&gt;=7,"P2","P3"))))</x:f>
      </x:c>
      <x:c r="S206" s="21" t="str"/>
      <x:c r="T206" s="21" t="str"/>
      <x:c r="U206" s="21" t="str"/>
      <x:c r="V206" s="31" t="str"/>
      <x:c r="W206" s="21" t="str"/>
      <x:c r="X206" s="21" t="str">
        <x:v>未复测</x:v>
      </x:c>
      <x:c r="Y206" s="21" t="str"/>
    </x:row>
    <x:row r="207" ht="52" customHeight="1">
      <x:c r="A207" s="27" t="str">
        <x:v>UX-203</x:v>
      </x:c>
      <x:c r="B207" s="23" t="str">
        <x:v>15 剧情、卷章、图鉴与旅程</x:v>
      </x:c>
      <x:c r="C207" s="23" t="str">
        <x:v>叙事与收集</x:v>
      </x:c>
      <x:c r="D207" s="23" t="str">
        <x:v>剧情选择/山海册/旅程</x:v>
      </x:c>
      <x:c r="E207" s="21" t="str">
        <x:v>图鉴前后形态与档案同步</x:v>
      </x:c>
      <x:c r="F207" s="21" t="str">
        <x:v>收容、蜕变、上岗后对应条目及时更新</x:v>
      </x:c>
      <x:c r="G207" s="21" t="str">
        <x:v>节点前后对比</x:v>
      </x:c>
      <x:c r="H207" s="21" t="str">
        <x:v>收集/成长</x:v>
      </x:c>
      <x:c r="I207" s="21" t="str">
        <x:v>全流程</x:v>
      </x:c>
      <x:c r="J207" s="21" t="str">
        <x:v>全平台</x:v>
      </x:c>
      <x:c r="K207" s="21" t="str"/>
      <x:c r="L207" s="29" t="str">
        <x:v>未检查</x:v>
      </x:c>
      <x:c r="M207" s="29" t="str">
        <x:v>未确认</x:v>
      </x:c>
      <x:c r="N207" s="29" t="str">
        <x:v>未确认</x:v>
      </x:c>
      <x:c r="O207" s="29" t="str"/>
      <x:c r="P207" s="29" t="str">
        <x:f>IF(OR(L207="未检查",L207="通过",L207="不适用"),"",IFERROR(VLOOKUP(M207,'口径与下拉'!$A$9:$B$14,2,FALSE),0)+IFERROR(VLOOKUP(N207,'口径与下拉'!$D$9:$E$14,2,FALSE),0)+O207)</x:f>
      </x:c>
      <x:c r="Q207" s="29" t="str"/>
      <x:c r="R207" s="29" t="str">
        <x:f>IF(P207="","",IF(P207&gt;=13,"P0",IF(P207&gt;=10,"P1",IF(P207&gt;=7,"P2","P3"))))</x:f>
      </x:c>
      <x:c r="S207" s="21" t="str"/>
      <x:c r="T207" s="21" t="str"/>
      <x:c r="U207" s="21" t="str"/>
      <x:c r="V207" s="31" t="str"/>
      <x:c r="W207" s="21" t="str"/>
      <x:c r="X207" s="21" t="str">
        <x:v>未复测</x:v>
      </x:c>
      <x:c r="Y207" s="21" t="str"/>
    </x:row>
    <x:row r="208" ht="52" customHeight="1">
      <x:c r="A208" s="27" t="str">
        <x:v>UX-204</x:v>
      </x:c>
      <x:c r="B208" s="23" t="str">
        <x:v>15 剧情、卷章、图鉴与旅程</x:v>
      </x:c>
      <x:c r="C208" s="23" t="str">
        <x:v>叙事与收集</x:v>
      </x:c>
      <x:c r="D208" s="23" t="str">
        <x:v>剧情选择/山海册/旅程</x:v>
      </x:c>
      <x:c r="E208" s="21" t="str">
        <x:v>典籍与改编表达尊重且自洽</x:v>
      </x:c>
      <x:c r="F208" s="21" t="str">
        <x:v>本相、症状、角色语气与世界观一致，无明显张冠李戴</x:v>
      </x:c>
      <x:c r="G208" s="21" t="str">
        <x:v>叙事资料与前台抽检</x:v>
      </x:c>
      <x:c r="H208" s="21" t="str">
        <x:v>文化/信任</x:v>
      </x:c>
      <x:c r="I208" s="21" t="str">
        <x:v>全流程</x:v>
      </x:c>
      <x:c r="J208" s="21" t="str">
        <x:v>全平台</x:v>
      </x:c>
      <x:c r="K208" s="21" t="str"/>
      <x:c r="L208" s="29" t="str">
        <x:v>未检查</x:v>
      </x:c>
      <x:c r="M208" s="29" t="str">
        <x:v>未确认</x:v>
      </x:c>
      <x:c r="N208" s="29" t="str">
        <x:v>未确认</x:v>
      </x:c>
      <x:c r="O208" s="29" t="str"/>
      <x:c r="P208" s="29" t="str">
        <x:f>IF(OR(L208="未检查",L208="通过",L208="不适用"),"",IFERROR(VLOOKUP(M208,'口径与下拉'!$A$9:$B$14,2,FALSE),0)+IFERROR(VLOOKUP(N208,'口径与下拉'!$D$9:$E$14,2,FALSE),0)+O208)</x:f>
      </x:c>
      <x:c r="Q208" s="29" t="str"/>
      <x:c r="R208" s="29" t="str">
        <x:f>IF(P208="","",IF(P208&gt;=13,"P0",IF(P208&gt;=10,"P1",IF(P208&gt;=7,"P2","P3"))))</x:f>
      </x:c>
      <x:c r="S208" s="21" t="str"/>
      <x:c r="T208" s="21" t="str"/>
      <x:c r="U208" s="21" t="str"/>
      <x:c r="V208" s="31" t="str"/>
      <x:c r="W208" s="21" t="str"/>
      <x:c r="X208" s="21" t="str">
        <x:v>未复测</x:v>
      </x:c>
      <x:c r="Y208" s="21" t="str"/>
    </x:row>
    <x:row r="209" ht="52" customHeight="1">
      <x:c r="A209" s="27" t="str">
        <x:v>UX-205</x:v>
      </x:c>
      <x:c r="B209" s="23" t="str">
        <x:v>15 剧情、卷章、图鉴与旅程</x:v>
      </x:c>
      <x:c r="C209" s="23" t="str">
        <x:v>叙事与收集</x:v>
      </x:c>
      <x:c r="D209" s="23" t="str">
        <x:v>剧情选择/山海册/旅程</x:v>
      </x:c>
      <x:c r="E209" s="21" t="str">
        <x:v>旅程进度与真实状态一致</x:v>
      </x:c>
      <x:c r="F209" s="21" t="str">
        <x:v>卷、兽、区域、结局、记录的完成数无多计/漏计</x:v>
      </x:c>
      <x:c r="G209" s="21" t="str">
        <x:v>状态数据对账</x:v>
      </x:c>
      <x:c r="H209" s="21" t="str">
        <x:v>理解/操作</x:v>
      </x:c>
      <x:c r="I209" s="21" t="str">
        <x:v>全流程</x:v>
      </x:c>
      <x:c r="J209" s="21" t="str">
        <x:v>全平台</x:v>
      </x:c>
      <x:c r="K209" s="21" t="str"/>
      <x:c r="L209" s="29" t="str">
        <x:v>未检查</x:v>
      </x:c>
      <x:c r="M209" s="29" t="str">
        <x:v>未确认</x:v>
      </x:c>
      <x:c r="N209" s="29" t="str">
        <x:v>未确认</x:v>
      </x:c>
      <x:c r="O209" s="29" t="str"/>
      <x:c r="P209" s="29" t="str">
        <x:f>IF(OR(L209="未检查",L209="通过",L209="不适用"),"",IFERROR(VLOOKUP(M209,'口径与下拉'!$A$9:$B$14,2,FALSE),0)+IFERROR(VLOOKUP(N209,'口径与下拉'!$D$9:$E$14,2,FALSE),0)+O209)</x:f>
      </x:c>
      <x:c r="Q209" s="29" t="str"/>
      <x:c r="R209" s="29" t="str">
        <x:f>IF(P209="","",IF(P209&gt;=13,"P0",IF(P209&gt;=10,"P1",IF(P209&gt;=7,"P2","P3"))))</x:f>
      </x:c>
      <x:c r="S209" s="21" t="str"/>
      <x:c r="T209" s="21" t="str"/>
      <x:c r="U209" s="21" t="str"/>
      <x:c r="V209" s="31" t="str"/>
      <x:c r="W209" s="21" t="str"/>
      <x:c r="X209" s="21" t="str">
        <x:v>未复测</x:v>
      </x:c>
      <x:c r="Y209" s="21" t="str"/>
    </x:row>
    <x:row r="210" ht="52" customHeight="1">
      <x:c r="A210" s="27" t="str">
        <x:v>UX-206</x:v>
      </x:c>
      <x:c r="B210" s="23" t="str">
        <x:v>15 剧情、卷章、图鉴与旅程</x:v>
      </x:c>
      <x:c r="C210" s="23" t="str">
        <x:v>叙事与收集</x:v>
      </x:c>
      <x:c r="D210" s="23" t="str">
        <x:v>剧情选择/山海册/旅程</x:v>
      </x:c>
      <x:c r="E210" s="21" t="str">
        <x:v>章节衔接不出现时空/角色矛盾</x:v>
      </x:c>
      <x:c r="F210" s="21" t="str">
        <x:v>人物称谓、已修缮区域、已上岗兽和事件前后连续</x:v>
      </x:c>
      <x:c r="G210" s="21" t="str">
        <x:v>跨卷连续性审读</x:v>
      </x:c>
      <x:c r="H210" s="21" t="str">
        <x:v>叙事/沉浸</x:v>
      </x:c>
      <x:c r="I210" s="21" t="str">
        <x:v>全流程</x:v>
      </x:c>
      <x:c r="J210" s="21" t="str">
        <x:v>全平台</x:v>
      </x:c>
      <x:c r="K210" s="21" t="str"/>
      <x:c r="L210" s="29" t="str">
        <x:v>未检查</x:v>
      </x:c>
      <x:c r="M210" s="29" t="str">
        <x:v>未确认</x:v>
      </x:c>
      <x:c r="N210" s="29" t="str">
        <x:v>未确认</x:v>
      </x:c>
      <x:c r="O210" s="29" t="str"/>
      <x:c r="P210" s="29" t="str">
        <x:f>IF(OR(L210="未检查",L210="通过",L210="不适用"),"",IFERROR(VLOOKUP(M210,'口径与下拉'!$A$9:$B$14,2,FALSE),0)+IFERROR(VLOOKUP(N210,'口径与下拉'!$D$9:$E$14,2,FALSE),0)+O210)</x:f>
      </x:c>
      <x:c r="Q210" s="29" t="str"/>
      <x:c r="R210" s="29" t="str">
        <x:f>IF(P210="","",IF(P210&gt;=13,"P0",IF(P210&gt;=10,"P1",IF(P210&gt;=7,"P2","P3"))))</x:f>
      </x:c>
      <x:c r="S210" s="21" t="str"/>
      <x:c r="T210" s="21" t="str"/>
      <x:c r="U210" s="21" t="str"/>
      <x:c r="V210" s="31" t="str"/>
      <x:c r="W210" s="21" t="str"/>
      <x:c r="X210" s="21" t="str">
        <x:v>未复测</x:v>
      </x:c>
      <x:c r="Y210" s="21" t="str"/>
    </x:row>
    <x:row r="211" ht="52" customHeight="1">
      <x:c r="A211" s="27" t="str">
        <x:v>UX-207</x:v>
      </x:c>
      <x:c r="B211" s="23" t="str">
        <x:v>16 数值、经济、难度与节奏</x:v>
      </x:c>
      <x:c r="C211" s="23" t="str">
        <x:v>资源闭环</x:v>
      </x:c>
      <x:c r="D211" s="23" t="str">
        <x:v>全系统</x:v>
      </x:c>
      <x:c r="E211" s="21" t="str">
        <x:v>暖玉来源与消耗形成闭环</x:v>
      </x:c>
      <x:c r="F211" s="21" t="str">
        <x:v>订单、日常、岗位等产出能覆盖合理的解锁/修缮/封印消耗</x:v>
      </x:c>
      <x:c r="G211" s="21" t="str">
        <x:v>按玩家阶段做 7/30 日模拟</x:v>
      </x:c>
      <x:c r="H211" s="21" t="str">
        <x:v>经济/留存</x:v>
      </x:c>
      <x:c r="I211" s="21" t="str">
        <x:v>全流程</x:v>
      </x:c>
      <x:c r="J211" s="21" t="str">
        <x:v>全平台</x:v>
      </x:c>
      <x:c r="K211" s="21" t="str"/>
      <x:c r="L211" s="29" t="str">
        <x:v>未检查</x:v>
      </x:c>
      <x:c r="M211" s="29" t="str">
        <x:v>未确认</x:v>
      </x:c>
      <x:c r="N211" s="29" t="str">
        <x:v>未确认</x:v>
      </x:c>
      <x:c r="O211" s="29" t="str"/>
      <x:c r="P211" s="29" t="str">
        <x:f>IF(OR(L211="未检查",L211="通过",L211="不适用"),"",IFERROR(VLOOKUP(M211,'口径与下拉'!$A$9:$B$14,2,FALSE),0)+IFERROR(VLOOKUP(N211,'口径与下拉'!$D$9:$E$14,2,FALSE),0)+O211)</x:f>
      </x:c>
      <x:c r="Q211" s="29" t="str"/>
      <x:c r="R211" s="29" t="str">
        <x:f>IF(P211="","",IF(P211&gt;=13,"P0",IF(P211&gt;=10,"P1",IF(P211&gt;=7,"P2","P3"))))</x:f>
      </x:c>
      <x:c r="S211" s="21" t="str"/>
      <x:c r="T211" s="21" t="str"/>
      <x:c r="U211" s="21" t="str"/>
      <x:c r="V211" s="31" t="str"/>
      <x:c r="W211" s="21" t="str"/>
      <x:c r="X211" s="21" t="str">
        <x:v>未复测</x:v>
      </x:c>
      <x:c r="Y211" s="21" t="str"/>
    </x:row>
    <x:row r="212" ht="52" customHeight="1">
      <x:c r="A212" s="27" t="str">
        <x:v>UX-208</x:v>
      </x:c>
      <x:c r="B212" s="23" t="str">
        <x:v>16 数值、经济、难度与节奏</x:v>
      </x:c>
      <x:c r="C212" s="23" t="str">
        <x:v>资源闭环</x:v>
      </x:c>
      <x:c r="D212" s="23" t="str">
        <x:v>全系统</x:v>
      </x:c>
      <x:c r="E212" s="21" t="str">
        <x:v>灵力恢复与消耗节奏合理</x:v>
      </x:c>
      <x:c r="F212" s="21" t="str">
        <x:v>一轮会话有足够操作；不足提示不频繁打断或迫使等待</x:v>
      </x:c>
      <x:c r="G212" s="21" t="str">
        <x:v>多阶段会话计时</x:v>
      </x:c>
      <x:c r="H212" s="21" t="str">
        <x:v>理解/操作</x:v>
      </x:c>
      <x:c r="I212" s="21" t="str">
        <x:v>全流程</x:v>
      </x:c>
      <x:c r="J212" s="21" t="str">
        <x:v>全平台</x:v>
      </x:c>
      <x:c r="K212" s="21" t="str"/>
      <x:c r="L212" s="29" t="str">
        <x:v>未检查</x:v>
      </x:c>
      <x:c r="M212" s="29" t="str">
        <x:v>未确认</x:v>
      </x:c>
      <x:c r="N212" s="29" t="str">
        <x:v>未确认</x:v>
      </x:c>
      <x:c r="O212" s="29" t="str"/>
      <x:c r="P212" s="29" t="str">
        <x:f>IF(OR(L212="未检查",L212="通过",L212="不适用"),"",IFERROR(VLOOKUP(M212,'口径与下拉'!$A$9:$B$14,2,FALSE),0)+IFERROR(VLOOKUP(N212,'口径与下拉'!$D$9:$E$14,2,FALSE),0)+O212)</x:f>
      </x:c>
      <x:c r="Q212" s="29" t="str"/>
      <x:c r="R212" s="29" t="str">
        <x:f>IF(P212="","",IF(P212&gt;=13,"P0",IF(P212&gt;=10,"P1",IF(P212&gt;=7,"P2","P3"))))</x:f>
      </x:c>
      <x:c r="S212" s="21" t="str"/>
      <x:c r="T212" s="21" t="str"/>
      <x:c r="U212" s="21" t="str"/>
      <x:c r="V212" s="31" t="str"/>
      <x:c r="W212" s="21" t="str"/>
      <x:c r="X212" s="21" t="str">
        <x:v>未复测</x:v>
      </x:c>
      <x:c r="Y212" s="21" t="str"/>
    </x:row>
    <x:row r="213" ht="52" customHeight="1">
      <x:c r="A213" s="27" t="str">
        <x:v>UX-209</x:v>
      </x:c>
      <x:c r="B213" s="23" t="str">
        <x:v>16 数值、经济、难度与节奏</x:v>
      </x:c>
      <x:c r="C213" s="23" t="str">
        <x:v>资源闭环</x:v>
      </x:c>
      <x:c r="D213" s="23" t="str">
        <x:v>全系统</x:v>
      </x:c>
      <x:c r="E213" s="21" t="str">
        <x:v>奖励灵力可溢出且不被吞</x:v>
      </x:c>
      <x:c r="F213" s="21" t="str">
        <x:v>超过上限后余额保留；自然恢复在降回上限前暂停</x:v>
      </x:c>
      <x:c r="G213" s="21" t="str">
        <x:v>上限边界测试</x:v>
      </x:c>
      <x:c r="H213" s="21" t="str">
        <x:v>经济/信任</x:v>
      </x:c>
      <x:c r="I213" s="21" t="str">
        <x:v>全流程</x:v>
      </x:c>
      <x:c r="J213" s="21" t="str">
        <x:v>全平台</x:v>
      </x:c>
      <x:c r="K213" s="21" t="str"/>
      <x:c r="L213" s="29" t="str">
        <x:v>未检查</x:v>
      </x:c>
      <x:c r="M213" s="29" t="str">
        <x:v>未确认</x:v>
      </x:c>
      <x:c r="N213" s="29" t="str">
        <x:v>未确认</x:v>
      </x:c>
      <x:c r="O213" s="29" t="str"/>
      <x:c r="P213" s="29" t="str">
        <x:f>IF(OR(L213="未检查",L213="通过",L213="不适用"),"",IFERROR(VLOOKUP(M213,'口径与下拉'!$A$9:$B$14,2,FALSE),0)+IFERROR(VLOOKUP(N213,'口径与下拉'!$D$9:$E$14,2,FALSE),0)+O213)</x:f>
      </x:c>
      <x:c r="Q213" s="29" t="str"/>
      <x:c r="R213" s="29" t="str">
        <x:f>IF(P213="","",IF(P213&gt;=13,"P0",IF(P213&gt;=10,"P1",IF(P213&gt;=7,"P2","P3"))))</x:f>
      </x:c>
      <x:c r="S213" s="21" t="str"/>
      <x:c r="T213" s="21" t="str"/>
      <x:c r="U213" s="21" t="str"/>
      <x:c r="V213" s="31" t="str"/>
      <x:c r="W213" s="21" t="str"/>
      <x:c r="X213" s="21" t="str">
        <x:v>未复测</x:v>
      </x:c>
      <x:c r="Y213" s="21" t="str"/>
    </x:row>
    <x:row r="214" ht="52" customHeight="1">
      <x:c r="A214" s="27" t="str">
        <x:v>UX-210</x:v>
      </x:c>
      <x:c r="B214" s="23" t="str">
        <x:v>16 数值、经济、难度与节奏</x:v>
      </x:c>
      <x:c r="C214" s="23" t="str">
        <x:v>资源闭环</x:v>
      </x:c>
      <x:c r="D214" s="23" t="str">
        <x:v>全系统</x:v>
      </x:c>
      <x:c r="E214" s="21" t="str">
        <x:v>宗门阅历产出与解锁匹配</x:v>
      </x:c>
      <x:c r="F214" s="21" t="str">
        <x:v>不会长时间无进展，也不会一日跳过大量内容</x:v>
      </x:c>
      <x:c r="G214" s="21" t="str">
        <x:v>阶段进度模拟</x:v>
      </x:c>
      <x:c r="H214" s="21" t="str">
        <x:v>理解/操作</x:v>
      </x:c>
      <x:c r="I214" s="21" t="str">
        <x:v>全流程</x:v>
      </x:c>
      <x:c r="J214" s="21" t="str">
        <x:v>全平台</x:v>
      </x:c>
      <x:c r="K214" s="21" t="str"/>
      <x:c r="L214" s="29" t="str">
        <x:v>未检查</x:v>
      </x:c>
      <x:c r="M214" s="29" t="str">
        <x:v>未确认</x:v>
      </x:c>
      <x:c r="N214" s="29" t="str">
        <x:v>未确认</x:v>
      </x:c>
      <x:c r="O214" s="29" t="str"/>
      <x:c r="P214" s="29" t="str">
        <x:f>IF(OR(L214="未检查",L214="通过",L214="不适用"),"",IFERROR(VLOOKUP(M214,'口径与下拉'!$A$9:$B$14,2,FALSE),0)+IFERROR(VLOOKUP(N214,'口径与下拉'!$D$9:$E$14,2,FALSE),0)+O214)</x:f>
      </x:c>
      <x:c r="Q214" s="29" t="str"/>
      <x:c r="R214" s="29" t="str">
        <x:f>IF(P214="","",IF(P214&gt;=13,"P0",IF(P214&gt;=10,"P1",IF(P214&gt;=7,"P2","P3"))))</x:f>
      </x:c>
      <x:c r="S214" s="21" t="str"/>
      <x:c r="T214" s="21" t="str"/>
      <x:c r="U214" s="21" t="str"/>
      <x:c r="V214" s="31" t="str"/>
      <x:c r="W214" s="21" t="str"/>
      <x:c r="X214" s="21" t="str">
        <x:v>未复测</x:v>
      </x:c>
      <x:c r="Y214" s="21" t="str"/>
    </x:row>
    <x:row r="215" ht="52" customHeight="1">
      <x:c r="A215" s="27" t="str">
        <x:v>UX-211</x:v>
      </x:c>
      <x:c r="B215" s="23" t="str">
        <x:v>16 数值、经济、难度与节奏</x:v>
      </x:c>
      <x:c r="C215" s="23" t="str">
        <x:v>资源闭环</x:v>
      </x:c>
      <x:c r="D215" s="23" t="str">
        <x:v>全系统</x:v>
      </x:c>
      <x:c r="E215" s="21" t="str">
        <x:v>每日固定奖励为暖玉80、阅历33</x:v>
      </x:c>
      <x:c r="F215" s="21" t="str">
        <x:v>展示、领取和实际差值一致且每日仅一次</x:v>
      </x:c>
      <x:c r="G215" s="21" t="str">
        <x:v>跨日领取核对</x:v>
      </x:c>
      <x:c r="H215" s="21" t="str">
        <x:v>理解/操作</x:v>
      </x:c>
      <x:c r="I215" s="21" t="str">
        <x:v>全流程</x:v>
      </x:c>
      <x:c r="J215" s="21" t="str">
        <x:v>全平台</x:v>
      </x:c>
      <x:c r="K215" s="21" t="str"/>
      <x:c r="L215" s="29" t="str">
        <x:v>未检查</x:v>
      </x:c>
      <x:c r="M215" s="29" t="str">
        <x:v>未确认</x:v>
      </x:c>
      <x:c r="N215" s="29" t="str">
        <x:v>未确认</x:v>
      </x:c>
      <x:c r="O215" s="29" t="str"/>
      <x:c r="P215" s="29" t="str">
        <x:f>IF(OR(L215="未检查",L215="通过",L215="不适用"),"",IFERROR(VLOOKUP(M215,'口径与下拉'!$A$9:$B$14,2,FALSE),0)+IFERROR(VLOOKUP(N215,'口径与下拉'!$D$9:$E$14,2,FALSE),0)+O215)</x:f>
      </x:c>
      <x:c r="Q215" s="29" t="str"/>
      <x:c r="R215" s="29" t="str">
        <x:f>IF(P215="","",IF(P215&gt;=13,"P0",IF(P215&gt;=10,"P1",IF(P215&gt;=7,"P2","P3"))))</x:f>
      </x:c>
      <x:c r="S215" s="21" t="str"/>
      <x:c r="T215" s="21" t="str"/>
      <x:c r="U215" s="21" t="str"/>
      <x:c r="V215" s="31" t="str"/>
      <x:c r="W215" s="21" t="str"/>
      <x:c r="X215" s="21" t="str">
        <x:v>未复测</x:v>
      </x:c>
      <x:c r="Y215" s="21" t="str"/>
    </x:row>
    <x:row r="216" ht="52" customHeight="1">
      <x:c r="A216" s="27" t="str">
        <x:v>UX-212</x:v>
      </x:c>
      <x:c r="B216" s="23" t="str">
        <x:v>16 数值、经济、难度与节奏</x:v>
      </x:c>
      <x:c r="C216" s="23" t="str">
        <x:v>资源闭环</x:v>
      </x:c>
      <x:c r="D216" s="23" t="str">
        <x:v>全系统</x:v>
      </x:c>
      <x:c r="E216" s="21" t="str">
        <x:v>订单需求与产能匹配</x:v>
      </x:c>
      <x:c r="F216" s="21" t="str">
        <x:v>低阶可完成项持续存在，高阶目标有可预期拆解路径</x:v>
      </x:c>
      <x:c r="G216" s="21" t="str">
        <x:v>批量订单与产线模拟</x:v>
      </x:c>
      <x:c r="H216" s="21" t="str">
        <x:v>难度/防软锁</x:v>
      </x:c>
      <x:c r="I216" s="21" t="str">
        <x:v>全流程</x:v>
      </x:c>
      <x:c r="J216" s="21" t="str">
        <x:v>全平台</x:v>
      </x:c>
      <x:c r="K216" s="21" t="str"/>
      <x:c r="L216" s="29" t="str">
        <x:v>未检查</x:v>
      </x:c>
      <x:c r="M216" s="29" t="str">
        <x:v>未确认</x:v>
      </x:c>
      <x:c r="N216" s="29" t="str">
        <x:v>未确认</x:v>
      </x:c>
      <x:c r="O216" s="29" t="str"/>
      <x:c r="P216" s="29" t="str">
        <x:f>IF(OR(L216="未检查",L216="通过",L216="不适用"),"",IFERROR(VLOOKUP(M216,'口径与下拉'!$A$9:$B$14,2,FALSE),0)+IFERROR(VLOOKUP(N216,'口径与下拉'!$D$9:$E$14,2,FALSE),0)+O216)</x:f>
      </x:c>
      <x:c r="Q216" s="29" t="str"/>
      <x:c r="R216" s="29" t="str">
        <x:f>IF(P216="","",IF(P216&gt;=13,"P0",IF(P216&gt;=10,"P1",IF(P216&gt;=7,"P2","P3"))))</x:f>
      </x:c>
      <x:c r="S216" s="21" t="str"/>
      <x:c r="T216" s="21" t="str"/>
      <x:c r="U216" s="21" t="str"/>
      <x:c r="V216" s="31" t="str"/>
      <x:c r="W216" s="21" t="str"/>
      <x:c r="X216" s="21" t="str">
        <x:v>未复测</x:v>
      </x:c>
      <x:c r="Y216" s="21" t="str"/>
    </x:row>
    <x:row r="217" ht="52" customHeight="1">
      <x:c r="A217" s="27" t="str">
        <x:v>UX-213</x:v>
      </x:c>
      <x:c r="B217" s="23" t="str">
        <x:v>16 数值、经济、难度与节奏</x:v>
      </x:c>
      <x:c r="C217" s="23" t="str">
        <x:v>资源闭环</x:v>
      </x:c>
      <x:c r="D217" s="23" t="str">
        <x:v>全系统</x:v>
      </x:c>
      <x:c r="E217" s="21" t="str">
        <x:v>棋盘压力可管理</x:v>
      </x:c>
      <x:c r="F217" s="21" t="str">
        <x:v>常规游玩不会因系统奖励/生成器过多而频繁满盘</x:v>
      </x:c>
      <x:c r="G217" s="21" t="str">
        <x:v>30 分钟连续游玩统计</x:v>
      </x:c>
      <x:c r="H217" s="21" t="str">
        <x:v>理解/操作</x:v>
      </x:c>
      <x:c r="I217" s="21" t="str">
        <x:v>全流程</x:v>
      </x:c>
      <x:c r="J217" s="21" t="str">
        <x:v>全平台</x:v>
      </x:c>
      <x:c r="K217" s="21" t="str"/>
      <x:c r="L217" s="29" t="str">
        <x:v>未检查</x:v>
      </x:c>
      <x:c r="M217" s="29" t="str">
        <x:v>未确认</x:v>
      </x:c>
      <x:c r="N217" s="29" t="str">
        <x:v>未确认</x:v>
      </x:c>
      <x:c r="O217" s="29" t="str"/>
      <x:c r="P217" s="29" t="str">
        <x:f>IF(OR(L217="未检查",L217="通过",L217="不适用"),"",IFERROR(VLOOKUP(M217,'口径与下拉'!$A$9:$B$14,2,FALSE),0)+IFERROR(VLOOKUP(N217,'口径与下拉'!$D$9:$E$14,2,FALSE),0)+O217)</x:f>
      </x:c>
      <x:c r="Q217" s="29" t="str"/>
      <x:c r="R217" s="29" t="str">
        <x:f>IF(P217="","",IF(P217&gt;=13,"P0",IF(P217&gt;=10,"P1",IF(P217&gt;=7,"P2","P3"))))</x:f>
      </x:c>
      <x:c r="S217" s="21" t="str"/>
      <x:c r="T217" s="21" t="str"/>
      <x:c r="U217" s="21" t="str"/>
      <x:c r="V217" s="31" t="str"/>
      <x:c r="W217" s="21" t="str"/>
      <x:c r="X217" s="21" t="str">
        <x:v>未复测</x:v>
      </x:c>
      <x:c r="Y217" s="21" t="str"/>
    </x:row>
    <x:row r="218" ht="52" customHeight="1">
      <x:c r="A218" s="27" t="str">
        <x:v>UX-214</x:v>
      </x:c>
      <x:c r="B218" s="23" t="str">
        <x:v>16 数值、经济、难度与节奏</x:v>
      </x:c>
      <x:c r="C218" s="23" t="str">
        <x:v>资源闭环</x:v>
      </x:c>
      <x:c r="D218" s="23" t="str">
        <x:v>全系统</x:v>
      </x:c>
      <x:c r="E218" s="21" t="str">
        <x:v>修缮成本曲线提供目标而非墙</x:v>
      </x:c>
      <x:c r="F218" s="21" t="str">
        <x:v>玩家能估计还差多少次合并/订单，不出现陡峭断层</x:v>
      </x:c>
      <x:c r="G218" s="21" t="str">
        <x:v>各卷成本与产能比</x:v>
      </x:c>
      <x:c r="H218" s="21" t="str">
        <x:v>理解/操作</x:v>
      </x:c>
      <x:c r="I218" s="21" t="str">
        <x:v>全流程</x:v>
      </x:c>
      <x:c r="J218" s="21" t="str">
        <x:v>全平台</x:v>
      </x:c>
      <x:c r="K218" s="21" t="str"/>
      <x:c r="L218" s="29" t="str">
        <x:v>未检查</x:v>
      </x:c>
      <x:c r="M218" s="29" t="str">
        <x:v>未确认</x:v>
      </x:c>
      <x:c r="N218" s="29" t="str">
        <x:v>未确认</x:v>
      </x:c>
      <x:c r="O218" s="29" t="str"/>
      <x:c r="P218" s="29" t="str">
        <x:f>IF(OR(L218="未检查",L218="通过",L218="不适用"),"",IFERROR(VLOOKUP(M218,'口径与下拉'!$A$9:$B$14,2,FALSE),0)+IFERROR(VLOOKUP(N218,'口径与下拉'!$D$9:$E$14,2,FALSE),0)+O218)</x:f>
      </x:c>
      <x:c r="Q218" s="29" t="str"/>
      <x:c r="R218" s="29" t="str">
        <x:f>IF(P218="","",IF(P218&gt;=13,"P0",IF(P218&gt;=10,"P1",IF(P218&gt;=7,"P2","P3"))))</x:f>
      </x:c>
      <x:c r="S218" s="21" t="str"/>
      <x:c r="T218" s="21" t="str"/>
      <x:c r="U218" s="21" t="str"/>
      <x:c r="V218" s="31" t="str"/>
      <x:c r="W218" s="21" t="str"/>
      <x:c r="X218" s="21" t="str">
        <x:v>未复测</x:v>
      </x:c>
      <x:c r="Y218" s="21" t="str"/>
    </x:row>
    <x:row r="219" ht="52" customHeight="1">
      <x:c r="A219" s="27" t="str">
        <x:v>UX-215</x:v>
      </x:c>
      <x:c r="B219" s="23" t="str">
        <x:v>16 数值、经济、难度与节奏</x:v>
      </x:c>
      <x:c r="C219" s="23" t="str">
        <x:v>资源闭环</x:v>
      </x:c>
      <x:c r="D219" s="23" t="str">
        <x:v>全系统</x:v>
      </x:c>
      <x:c r="E219" s="21" t="str">
        <x:v>设施升级回报可感知</x:v>
      </x:c>
      <x:c r="F219" s="21" t="str">
        <x:v>升级后效率差异在合理时间内被玩家观察到</x:v>
      </x:c>
      <x:c r="G219" s="21" t="str">
        <x:v>升级前后对照会话</x:v>
      </x:c>
      <x:c r="H219" s="21" t="str">
        <x:v>理解/操作</x:v>
      </x:c>
      <x:c r="I219" s="21" t="str">
        <x:v>全流程</x:v>
      </x:c>
      <x:c r="J219" s="21" t="str">
        <x:v>全平台</x:v>
      </x:c>
      <x:c r="K219" s="21" t="str"/>
      <x:c r="L219" s="29" t="str">
        <x:v>未检查</x:v>
      </x:c>
      <x:c r="M219" s="29" t="str">
        <x:v>未确认</x:v>
      </x:c>
      <x:c r="N219" s="29" t="str">
        <x:v>未确认</x:v>
      </x:c>
      <x:c r="O219" s="29" t="str"/>
      <x:c r="P219" s="29" t="str">
        <x:f>IF(OR(L219="未检查",L219="通过",L219="不适用"),"",IFERROR(VLOOKUP(M219,'口径与下拉'!$A$9:$B$14,2,FALSE),0)+IFERROR(VLOOKUP(N219,'口径与下拉'!$D$9:$E$14,2,FALSE),0)+O219)</x:f>
      </x:c>
      <x:c r="Q219" s="29" t="str"/>
      <x:c r="R219" s="29" t="str">
        <x:f>IF(P219="","",IF(P219&gt;=13,"P0",IF(P219&gt;=10,"P1",IF(P219&gt;=7,"P2","P3"))))</x:f>
      </x:c>
      <x:c r="S219" s="21" t="str"/>
      <x:c r="T219" s="21" t="str"/>
      <x:c r="U219" s="21" t="str"/>
      <x:c r="V219" s="31" t="str"/>
      <x:c r="W219" s="21" t="str"/>
      <x:c r="X219" s="21" t="str">
        <x:v>未复测</x:v>
      </x:c>
      <x:c r="Y219" s="21" t="str"/>
    </x:row>
    <x:row r="220" ht="52" customHeight="1">
      <x:c r="A220" s="27" t="str">
        <x:v>UX-216</x:v>
      </x:c>
      <x:c r="B220" s="23" t="str">
        <x:v>16 数值、经济、难度与节奏</x:v>
      </x:c>
      <x:c r="C220" s="23" t="str">
        <x:v>资源闭环</x:v>
      </x:c>
      <x:c r="D220" s="23" t="str">
        <x:v>全系统</x:v>
      </x:c>
      <x:c r="E220" s="21" t="str">
        <x:v>岗位产出不破坏主玩法</x:v>
      </x:c>
      <x:c r="F220" s="21" t="str">
        <x:v>离线/岗位奖励有价值但不让主动合并失去意义</x:v>
      </x:c>
      <x:c r="G220" s="21" t="str">
        <x:v>不同回访周期资源占比</x:v>
      </x:c>
      <x:c r="H220" s="21" t="str">
        <x:v>理解/操作</x:v>
      </x:c>
      <x:c r="I220" s="21" t="str">
        <x:v>全流程</x:v>
      </x:c>
      <x:c r="J220" s="21" t="str">
        <x:v>全平台</x:v>
      </x:c>
      <x:c r="K220" s="21" t="str"/>
      <x:c r="L220" s="29" t="str">
        <x:v>未检查</x:v>
      </x:c>
      <x:c r="M220" s="29" t="str">
        <x:v>未确认</x:v>
      </x:c>
      <x:c r="N220" s="29" t="str">
        <x:v>未确认</x:v>
      </x:c>
      <x:c r="O220" s="29" t="str"/>
      <x:c r="P220" s="29" t="str">
        <x:f>IF(OR(L220="未检查",L220="通过",L220="不适用"),"",IFERROR(VLOOKUP(M220,'口径与下拉'!$A$9:$B$14,2,FALSE),0)+IFERROR(VLOOKUP(N220,'口径与下拉'!$D$9:$E$14,2,FALSE),0)+O220)</x:f>
      </x:c>
      <x:c r="Q220" s="29" t="str"/>
      <x:c r="R220" s="29" t="str">
        <x:f>IF(P220="","",IF(P220&gt;=13,"P0",IF(P220&gt;=10,"P1",IF(P220&gt;=7,"P2","P3"))))</x:f>
      </x:c>
      <x:c r="S220" s="21" t="str"/>
      <x:c r="T220" s="21" t="str"/>
      <x:c r="U220" s="21" t="str"/>
      <x:c r="V220" s="31" t="str"/>
      <x:c r="W220" s="21" t="str"/>
      <x:c r="X220" s="21" t="str">
        <x:v>未复测</x:v>
      </x:c>
      <x:c r="Y220" s="21" t="str"/>
    </x:row>
    <x:row r="221" ht="52" customHeight="1">
      <x:c r="A221" s="27" t="str">
        <x:v>UX-217</x:v>
      </x:c>
      <x:c r="B221" s="23" t="str">
        <x:v>16 数值、经济、难度与节奏</x:v>
      </x:c>
      <x:c r="C221" s="23" t="str">
        <x:v>资源闭环</x:v>
      </x:c>
      <x:c r="D221" s="23" t="str">
        <x:v>全系统</x:v>
      </x:c>
      <x:c r="E221" s="21" t="str">
        <x:v>有限生成器价值与稀缺度匹配</x:v>
      </x:c>
      <x:c r="F221" s="21" t="str">
        <x:v>玩家理解它是增益而非唯一来源，耗尽不产生被夺走感</x:v>
      </x:c>
      <x:c r="G221" s="21" t="str">
        <x:v>获得到耗尽全程观察</x:v>
      </x:c>
      <x:c r="H221" s="21" t="str">
        <x:v>理解/操作</x:v>
      </x:c>
      <x:c r="I221" s="21" t="str">
        <x:v>全流程</x:v>
      </x:c>
      <x:c r="J221" s="21" t="str">
        <x:v>全平台</x:v>
      </x:c>
      <x:c r="K221" s="21" t="str"/>
      <x:c r="L221" s="29" t="str">
        <x:v>未检查</x:v>
      </x:c>
      <x:c r="M221" s="29" t="str">
        <x:v>未确认</x:v>
      </x:c>
      <x:c r="N221" s="29" t="str">
        <x:v>未确认</x:v>
      </x:c>
      <x:c r="O221" s="29" t="str"/>
      <x:c r="P221" s="29" t="str">
        <x:f>IF(OR(L221="未检查",L221="通过",L221="不适用"),"",IFERROR(VLOOKUP(M221,'口径与下拉'!$A$9:$B$14,2,FALSE),0)+IFERROR(VLOOKUP(N221,'口径与下拉'!$D$9:$E$14,2,FALSE),0)+O221)</x:f>
      </x:c>
      <x:c r="Q221" s="29" t="str"/>
      <x:c r="R221" s="29" t="str">
        <x:f>IF(P221="","",IF(P221&gt;=13,"P0",IF(P221&gt;=10,"P1",IF(P221&gt;=7,"P2","P3"))))</x:f>
      </x:c>
      <x:c r="S221" s="21" t="str"/>
      <x:c r="T221" s="21" t="str"/>
      <x:c r="U221" s="21" t="str"/>
      <x:c r="V221" s="31" t="str"/>
      <x:c r="W221" s="21" t="str"/>
      <x:c r="X221" s="21" t="str">
        <x:v>未复测</x:v>
      </x:c>
      <x:c r="Y221" s="21" t="str"/>
    </x:row>
    <x:row r="222" ht="52" customHeight="1">
      <x:c r="A222" s="27" t="str">
        <x:v>UX-218</x:v>
      </x:c>
      <x:c r="B222" s="23" t="str">
        <x:v>16 数值、经济、难度与节奏</x:v>
      </x:c>
      <x:c r="C222" s="23" t="str">
        <x:v>资源闭环</x:v>
      </x:c>
      <x:c r="D222" s="23" t="str">
        <x:v>全系统</x:v>
      </x:c>
      <x:c r="E222" s="21" t="str">
        <x:v>首 30 分钟节奏连续</x:v>
      </x:c>
      <x:c r="F222" s="21" t="str">
        <x:v>教学、首修、穷奇、小游戏、第一次明显成长之间无长空档</x:v>
      </x:c>
      <x:c r="G222" s="21" t="str">
        <x:v>新档计时路径</x:v>
      </x:c>
      <x:c r="H222" s="21" t="str">
        <x:v>理解/操作</x:v>
      </x:c>
      <x:c r="I222" s="21" t="str">
        <x:v>全流程</x:v>
      </x:c>
      <x:c r="J222" s="21" t="str">
        <x:v>全平台</x:v>
      </x:c>
      <x:c r="K222" s="21" t="str"/>
      <x:c r="L222" s="29" t="str">
        <x:v>未检查</x:v>
      </x:c>
      <x:c r="M222" s="29" t="str">
        <x:v>未确认</x:v>
      </x:c>
      <x:c r="N222" s="29" t="str">
        <x:v>未确认</x:v>
      </x:c>
      <x:c r="O222" s="29" t="str"/>
      <x:c r="P222" s="29" t="str">
        <x:f>IF(OR(L222="未检查",L222="通过",L222="不适用"),"",IFERROR(VLOOKUP(M222,'口径与下拉'!$A$9:$B$14,2,FALSE),0)+IFERROR(VLOOKUP(N222,'口径与下拉'!$D$9:$E$14,2,FALSE),0)+O222)</x:f>
      </x:c>
      <x:c r="Q222" s="29" t="str"/>
      <x:c r="R222" s="29" t="str">
        <x:f>IF(P222="","",IF(P222&gt;=13,"P0",IF(P222&gt;=10,"P1",IF(P222&gt;=7,"P2","P3"))))</x:f>
      </x:c>
      <x:c r="S222" s="21" t="str"/>
      <x:c r="T222" s="21" t="str"/>
      <x:c r="U222" s="21" t="str"/>
      <x:c r="V222" s="31" t="str"/>
      <x:c r="W222" s="21" t="str"/>
      <x:c r="X222" s="21" t="str">
        <x:v>未复测</x:v>
      </x:c>
      <x:c r="Y222" s="21" t="str"/>
    </x:row>
    <x:row r="223" ht="52" customHeight="1">
      <x:c r="A223" s="27" t="str">
        <x:v>UX-219</x:v>
      </x:c>
      <x:c r="B223" s="23" t="str">
        <x:v>16 数值、经济、难度与节奏</x:v>
      </x:c>
      <x:c r="C223" s="23" t="str">
        <x:v>资源闭环</x:v>
      </x:c>
      <x:c r="D223" s="23" t="str">
        <x:v>全系统</x:v>
      </x:c>
      <x:c r="E223" s="21" t="str">
        <x:v>1–7 天有稳定新目标</x:v>
      </x:c>
      <x:c r="F223" s="21" t="str">
        <x:v>区域、故事、神兽、设施和产线按节奏解锁，不一次塞满</x:v>
      </x:c>
      <x:c r="G223" s="21" t="str">
        <x:v>七日状态模拟</x:v>
      </x:c>
      <x:c r="H223" s="21" t="str">
        <x:v>留存/节奏</x:v>
      </x:c>
      <x:c r="I223" s="21" t="str">
        <x:v>全流程</x:v>
      </x:c>
      <x:c r="J223" s="21" t="str">
        <x:v>全平台</x:v>
      </x:c>
      <x:c r="K223" s="21" t="str"/>
      <x:c r="L223" s="29" t="str">
        <x:v>未检查</x:v>
      </x:c>
      <x:c r="M223" s="29" t="str">
        <x:v>未确认</x:v>
      </x:c>
      <x:c r="N223" s="29" t="str">
        <x:v>未确认</x:v>
      </x:c>
      <x:c r="O223" s="29" t="str"/>
      <x:c r="P223" s="29" t="str">
        <x:f>IF(OR(L223="未检查",L223="通过",L223="不适用"),"",IFERROR(VLOOKUP(M223,'口径与下拉'!$A$9:$B$14,2,FALSE),0)+IFERROR(VLOOKUP(N223,'口径与下拉'!$D$9:$E$14,2,FALSE),0)+O223)</x:f>
      </x:c>
      <x:c r="Q223" s="29" t="str"/>
      <x:c r="R223" s="29" t="str">
        <x:f>IF(P223="","",IF(P223&gt;=13,"P0",IF(P223&gt;=10,"P1",IF(P223&gt;=7,"P2","P3"))))</x:f>
      </x:c>
      <x:c r="S223" s="21" t="str"/>
      <x:c r="T223" s="21" t="str"/>
      <x:c r="U223" s="21" t="str"/>
      <x:c r="V223" s="31" t="str"/>
      <x:c r="W223" s="21" t="str"/>
      <x:c r="X223" s="21" t="str">
        <x:v>未复测</x:v>
      </x:c>
      <x:c r="Y223" s="21" t="str"/>
    </x:row>
    <x:row r="224" ht="52" customHeight="1">
      <x:c r="A224" s="27" t="str">
        <x:v>UX-220</x:v>
      </x:c>
      <x:c r="B224" s="23" t="str">
        <x:v>16 数值、经济、难度与节奏</x:v>
      </x:c>
      <x:c r="C224" s="23" t="str">
        <x:v>资源闭环</x:v>
      </x:c>
      <x:c r="D224" s="23" t="str">
        <x:v>全系统</x:v>
      </x:c>
      <x:c r="E224" s="21" t="str">
        <x:v>30 日目标可达且非硬锁</x:v>
      </x:c>
      <x:c r="F224" s="21" t="str">
        <x:v>普通频率可完成主要陪伴目标；高频玩家可连续推进</x:v>
      </x:c>
      <x:c r="G224" s="21" t="str">
        <x:v>不同玩家频率蒙特卡洛/手工模拟</x:v>
      </x:c>
      <x:c r="H224" s="21" t="str">
        <x:v>理解/操作</x:v>
      </x:c>
      <x:c r="I224" s="21" t="str">
        <x:v>全流程</x:v>
      </x:c>
      <x:c r="J224" s="21" t="str">
        <x:v>全平台</x:v>
      </x:c>
      <x:c r="K224" s="21" t="str"/>
      <x:c r="L224" s="29" t="str">
        <x:v>未检查</x:v>
      </x:c>
      <x:c r="M224" s="29" t="str">
        <x:v>未确认</x:v>
      </x:c>
      <x:c r="N224" s="29" t="str">
        <x:v>未确认</x:v>
      </x:c>
      <x:c r="O224" s="29" t="str"/>
      <x:c r="P224" s="29" t="str">
        <x:f>IF(OR(L224="未检查",L224="通过",L224="不适用"),"",IFERROR(VLOOKUP(M224,'口径与下拉'!$A$9:$B$14,2,FALSE),0)+IFERROR(VLOOKUP(N224,'口径与下拉'!$D$9:$E$14,2,FALSE),0)+O224)</x:f>
      </x:c>
      <x:c r="Q224" s="29" t="str"/>
      <x:c r="R224" s="29" t="str">
        <x:f>IF(P224="","",IF(P224&gt;=13,"P0",IF(P224&gt;=10,"P1",IF(P224&gt;=7,"P2","P3"))))</x:f>
      </x:c>
      <x:c r="S224" s="21" t="str"/>
      <x:c r="T224" s="21" t="str"/>
      <x:c r="U224" s="21" t="str"/>
      <x:c r="V224" s="31" t="str"/>
      <x:c r="W224" s="21" t="str"/>
      <x:c r="X224" s="21" t="str">
        <x:v>未复测</x:v>
      </x:c>
      <x:c r="Y224" s="21" t="str"/>
    </x:row>
    <x:row r="225" ht="52" customHeight="1">
      <x:c r="A225" s="27" t="str">
        <x:v>UX-221</x:v>
      </x:c>
      <x:c r="B225" s="23" t="str">
        <x:v>16 数值、经济、难度与节奏</x:v>
      </x:c>
      <x:c r="C225" s="23" t="str">
        <x:v>资源闭环</x:v>
      </x:c>
      <x:c r="D225" s="23" t="str">
        <x:v>全系统</x:v>
      </x:c>
      <x:c r="E225" s="21" t="str">
        <x:v>难度来自轻策略而非手速</x:v>
      </x:c>
      <x:c r="F225" s="21" t="str">
        <x:v>对症、空间与资源规划有意义；低操作能力也能完成</x:v>
      </x:c>
      <x:c r="G225" s="21" t="str">
        <x:v>不同玩家能力测试</x:v>
      </x:c>
      <x:c r="H225" s="21" t="str">
        <x:v>公平/品牌</x:v>
      </x:c>
      <x:c r="I225" s="21" t="str">
        <x:v>全流程</x:v>
      </x:c>
      <x:c r="J225" s="21" t="str">
        <x:v>全平台</x:v>
      </x:c>
      <x:c r="K225" s="21" t="str"/>
      <x:c r="L225" s="29" t="str">
        <x:v>未检查</x:v>
      </x:c>
      <x:c r="M225" s="29" t="str">
        <x:v>未确认</x:v>
      </x:c>
      <x:c r="N225" s="29" t="str">
        <x:v>未确认</x:v>
      </x:c>
      <x:c r="O225" s="29" t="str"/>
      <x:c r="P225" s="29" t="str">
        <x:f>IF(OR(L225="未检查",L225="通过",L225="不适用"),"",IFERROR(VLOOKUP(M225,'口径与下拉'!$A$9:$B$14,2,FALSE),0)+IFERROR(VLOOKUP(N225,'口径与下拉'!$D$9:$E$14,2,FALSE),0)+O225)</x:f>
      </x:c>
      <x:c r="Q225" s="29" t="str"/>
      <x:c r="R225" s="29" t="str">
        <x:f>IF(P225="","",IF(P225&gt;=13,"P0",IF(P225&gt;=10,"P1",IF(P225&gt;=7,"P2","P3"))))</x:f>
      </x:c>
      <x:c r="S225" s="21" t="str"/>
      <x:c r="T225" s="21" t="str"/>
      <x:c r="U225" s="21" t="str"/>
      <x:c r="V225" s="31" t="str"/>
      <x:c r="W225" s="21" t="str"/>
      <x:c r="X225" s="21" t="str">
        <x:v>未复测</x:v>
      </x:c>
      <x:c r="Y225" s="21" t="str"/>
    </x:row>
    <x:row r="226" ht="52" customHeight="1">
      <x:c r="A226" s="27" t="str">
        <x:v>UX-222</x:v>
      </x:c>
      <x:c r="B226" s="23" t="str">
        <x:v>16 数值、经济、难度与节奏</x:v>
      </x:c>
      <x:c r="C226" s="23" t="str">
        <x:v>资源闭环</x:v>
      </x:c>
      <x:c r="D226" s="23" t="str">
        <x:v>全系统</x:v>
      </x:c>
      <x:c r="E226" s="21" t="str">
        <x:v>零失败规则不被数值暗中违背</x:v>
      </x:c>
      <x:c r="F226" s="21" t="str">
        <x:v>无资源倒扣、过期损失、强制等待或不可恢复错选</x:v>
      </x:c>
      <x:c r="G226" s="21" t="str">
        <x:v>全规则审计</x:v>
      </x:c>
      <x:c r="H226" s="21" t="str">
        <x:v>情绪/公平</x:v>
      </x:c>
      <x:c r="I226" s="21" t="str">
        <x:v>全流程</x:v>
      </x:c>
      <x:c r="J226" s="21" t="str">
        <x:v>全平台</x:v>
      </x:c>
      <x:c r="K226" s="21" t="str"/>
      <x:c r="L226" s="29" t="str">
        <x:v>未检查</x:v>
      </x:c>
      <x:c r="M226" s="29" t="str">
        <x:v>未确认</x:v>
      </x:c>
      <x:c r="N226" s="29" t="str">
        <x:v>未确认</x:v>
      </x:c>
      <x:c r="O226" s="29" t="str"/>
      <x:c r="P226" s="29" t="str">
        <x:f>IF(OR(L226="未检查",L226="通过",L226="不适用"),"",IFERROR(VLOOKUP(M226,'口径与下拉'!$A$9:$B$14,2,FALSE),0)+IFERROR(VLOOKUP(N226,'口径与下拉'!$D$9:$E$14,2,FALSE),0)+O226)</x:f>
      </x:c>
      <x:c r="Q226" s="29" t="str"/>
      <x:c r="R226" s="29" t="str">
        <x:f>IF(P226="","",IF(P226&gt;=13,"P0",IF(P226&gt;=10,"P1",IF(P226&gt;=7,"P2","P3"))))</x:f>
      </x:c>
      <x:c r="S226" s="21" t="str"/>
      <x:c r="T226" s="21" t="str"/>
      <x:c r="U226" s="21" t="str"/>
      <x:c r="V226" s="31" t="str"/>
      <x:c r="W226" s="21" t="str"/>
      <x:c r="X226" s="21" t="str">
        <x:v>未复测</x:v>
      </x:c>
      <x:c r="Y226" s="21" t="str"/>
    </x:row>
    <x:row r="227" ht="52" customHeight="1">
      <x:c r="A227" s="27" t="str">
        <x:v>UX-223</x:v>
      </x:c>
      <x:c r="B227" s="23" t="str">
        <x:v>16 数值、经济、难度与节奏</x:v>
      </x:c>
      <x:c r="C227" s="23" t="str">
        <x:v>资源闭环</x:v>
      </x:c>
      <x:c r="D227" s="23" t="str">
        <x:v>全系统</x:v>
      </x:c>
      <x:c r="E227" s="21" t="str">
        <x:v>时间回拨不复制奖励</x:v>
      </x:c>
      <x:c r="F227" s="21" t="str">
        <x:v>恢复基线且不惩罚正常玩家，不重复周奖/岗位/签到</x:v>
      </x:c>
      <x:c r="G227" s="21" t="str">
        <x:v>系统时间 A-B-A 测试</x:v>
      </x:c>
      <x:c r="H227" s="21" t="str">
        <x:v>数据/公平</x:v>
      </x:c>
      <x:c r="I227" s="21" t="str">
        <x:v>全流程</x:v>
      </x:c>
      <x:c r="J227" s="21" t="str">
        <x:v>全平台</x:v>
      </x:c>
      <x:c r="K227" s="21" t="str"/>
      <x:c r="L227" s="29" t="str">
        <x:v>未检查</x:v>
      </x:c>
      <x:c r="M227" s="29" t="str">
        <x:v>未确认</x:v>
      </x:c>
      <x:c r="N227" s="29" t="str">
        <x:v>未确认</x:v>
      </x:c>
      <x:c r="O227" s="29" t="str"/>
      <x:c r="P227" s="29" t="str">
        <x:f>IF(OR(L227="未检查",L227="通过",L227="不适用"),"",IFERROR(VLOOKUP(M227,'口径与下拉'!$A$9:$B$14,2,FALSE),0)+IFERROR(VLOOKUP(N227,'口径与下拉'!$D$9:$E$14,2,FALSE),0)+O227)</x:f>
      </x:c>
      <x:c r="Q227" s="29" t="str"/>
      <x:c r="R227" s="29" t="str">
        <x:f>IF(P227="","",IF(P227&gt;=13,"P0",IF(P227&gt;=10,"P1",IF(P227&gt;=7,"P2","P3"))))</x:f>
      </x:c>
      <x:c r="S227" s="21" t="str"/>
      <x:c r="T227" s="21" t="str"/>
      <x:c r="U227" s="21" t="str"/>
      <x:c r="V227" s="31" t="str"/>
      <x:c r="W227" s="21" t="str"/>
      <x:c r="X227" s="21" t="str">
        <x:v>未复测</x:v>
      </x:c>
      <x:c r="Y227" s="21" t="str"/>
    </x:row>
    <x:row r="228" ht="52" customHeight="1">
      <x:c r="A228" s="27" t="str">
        <x:v>UX-224</x:v>
      </x:c>
      <x:c r="B228" s="23" t="str">
        <x:v>16 数值、经济、难度与节奏</x:v>
      </x:c>
      <x:c r="C228" s="23" t="str">
        <x:v>资源闭环</x:v>
      </x:c>
      <x:c r="D228" s="23" t="str">
        <x:v>全系统</x:v>
      </x:c>
      <x:c r="E228" s="21" t="str">
        <x:v>经济指标可被记录和复盘</x:v>
      </x:c>
      <x:c r="F228" s="21" t="str">
        <x:v>每小时产出/消耗、完成时长、满盘率、卡点率有统一口径</x:v>
      </x:c>
      <x:c r="G228" s="21" t="str">
        <x:v>填写“数值与节奏”样本</x:v>
      </x:c>
      <x:c r="H228" s="21" t="str">
        <x:v>观测/平衡</x:v>
      </x:c>
      <x:c r="I228" s="21" t="str">
        <x:v>全流程</x:v>
      </x:c>
      <x:c r="J228" s="21" t="str">
        <x:v>全平台</x:v>
      </x:c>
      <x:c r="K228" s="21" t="str"/>
      <x:c r="L228" s="29" t="str">
        <x:v>未检查</x:v>
      </x:c>
      <x:c r="M228" s="29" t="str">
        <x:v>未确认</x:v>
      </x:c>
      <x:c r="N228" s="29" t="str">
        <x:v>未确认</x:v>
      </x:c>
      <x:c r="O228" s="29" t="str"/>
      <x:c r="P228" s="29" t="str">
        <x:f>IF(OR(L228="未检查",L228="通过",L228="不适用"),"",IFERROR(VLOOKUP(M228,'口径与下拉'!$A$9:$B$14,2,FALSE),0)+IFERROR(VLOOKUP(N228,'口径与下拉'!$D$9:$E$14,2,FALSE),0)+O228)</x:f>
      </x:c>
      <x:c r="Q228" s="29" t="str"/>
      <x:c r="R228" s="29" t="str">
        <x:f>IF(P228="","",IF(P228&gt;=13,"P0",IF(P228&gt;=10,"P1",IF(P228&gt;=7,"P2","P3"))))</x:f>
      </x:c>
      <x:c r="S228" s="21" t="str"/>
      <x:c r="T228" s="21" t="str"/>
      <x:c r="U228" s="21" t="str"/>
      <x:c r="V228" s="31" t="str"/>
      <x:c r="W228" s="21" t="str"/>
      <x:c r="X228" s="21" t="str">
        <x:v>未复测</x:v>
      </x:c>
      <x:c r="Y228" s="21" t="str"/>
    </x:row>
    <x:row r="229" ht="52" customHeight="1">
      <x:c r="A229" s="27" t="str">
        <x:v>UX-225</x:v>
      </x:c>
      <x:c r="B229" s="23" t="str">
        <x:v>17 日常、回流与留存</x:v>
      </x:c>
      <x:c r="C229" s="23" t="str">
        <x:v>日循环</x:v>
      </x:c>
      <x:c r="D229" s="23" t="str">
        <x:v>今日卷册/守灯归来</x:v>
      </x:c>
      <x:c r="E229" s="21" t="str">
        <x:v>每日三目标每天只可领取一次</x:v>
      </x:c>
      <x:c r="F229" s="21" t="str">
        <x:v>重复调用不改变领取标记、货币、物品或存档</x:v>
      </x:c>
      <x:c r="G229" s="21" t="str">
        <x:v>同日多次领取/刷新</x:v>
      </x:c>
      <x:c r="H229" s="21" t="str">
        <x:v>数据/信任</x:v>
      </x:c>
      <x:c r="I229" s="21" t="str">
        <x:v>全流程</x:v>
      </x:c>
      <x:c r="J229" s="21" t="str">
        <x:v>全平台</x:v>
      </x:c>
      <x:c r="K229" s="21" t="str"/>
      <x:c r="L229" s="29" t="str">
        <x:v>未检查</x:v>
      </x:c>
      <x:c r="M229" s="29" t="str">
        <x:v>未确认</x:v>
      </x:c>
      <x:c r="N229" s="29" t="str">
        <x:v>未确认</x:v>
      </x:c>
      <x:c r="O229" s="29" t="str"/>
      <x:c r="P229" s="29" t="str">
        <x:f>IF(OR(L229="未检查",L229="通过",L229="不适用"),"",IFERROR(VLOOKUP(M229,'口径与下拉'!$A$9:$B$14,2,FALSE),0)+IFERROR(VLOOKUP(N229,'口径与下拉'!$D$9:$E$14,2,FALSE),0)+O229)</x:f>
      </x:c>
      <x:c r="Q229" s="29" t="str"/>
      <x:c r="R229" s="29" t="str">
        <x:f>IF(P229="","",IF(P229&gt;=13,"P0",IF(P229&gt;=10,"P1",IF(P229&gt;=7,"P2","P3"))))</x:f>
      </x:c>
      <x:c r="S229" s="21" t="str"/>
      <x:c r="T229" s="21" t="str"/>
      <x:c r="U229" s="21" t="str"/>
      <x:c r="V229" s="31" t="str"/>
      <x:c r="W229" s="21" t="str"/>
      <x:c r="X229" s="21" t="str">
        <x:v>未复测</x:v>
      </x:c>
      <x:c r="Y229" s="21" t="str"/>
    </x:row>
    <x:row r="230" ht="52" customHeight="1">
      <x:c r="A230" s="27" t="str">
        <x:v>UX-226</x:v>
      </x:c>
      <x:c r="B230" s="23" t="str">
        <x:v>17 日常、回流与留存</x:v>
      </x:c>
      <x:c r="C230" s="23" t="str">
        <x:v>日循环</x:v>
      </x:c>
      <x:c r="D230" s="23" t="str">
        <x:v>今日卷册/守灯归来</x:v>
      </x:c>
      <x:c r="E230" s="21" t="str">
        <x:v>七日约定按不同领取日累计</x:v>
      </x:c>
      <x:c r="F230" s="21" t="str">
        <x:v>非连续也可累积；前七个不同领取日各发一次</x:v>
      </x:c>
      <x:c r="G230" s="21" t="str">
        <x:v>跨日与断签模拟</x:v>
      </x:c>
      <x:c r="H230" s="21" t="str">
        <x:v>公平/留存</x:v>
      </x:c>
      <x:c r="I230" s="21" t="str">
        <x:v>全流程</x:v>
      </x:c>
      <x:c r="J230" s="21" t="str">
        <x:v>全平台</x:v>
      </x:c>
      <x:c r="K230" s="21" t="str"/>
      <x:c r="L230" s="29" t="str">
        <x:v>未检查</x:v>
      </x:c>
      <x:c r="M230" s="29" t="str">
        <x:v>未确认</x:v>
      </x:c>
      <x:c r="N230" s="29" t="str">
        <x:v>未确认</x:v>
      </x:c>
      <x:c r="O230" s="29" t="str"/>
      <x:c r="P230" s="29" t="str">
        <x:f>IF(OR(L230="未检查",L230="通过",L230="不适用"),"",IFERROR(VLOOKUP(M230,'口径与下拉'!$A$9:$B$14,2,FALSE),0)+IFERROR(VLOOKUP(N230,'口径与下拉'!$D$9:$E$14,2,FALSE),0)+O230)</x:f>
      </x:c>
      <x:c r="Q230" s="29" t="str"/>
      <x:c r="R230" s="29" t="str">
        <x:f>IF(P230="","",IF(P230&gt;=13,"P0",IF(P230&gt;=10,"P1",IF(P230&gt;=7,"P2","P3"))))</x:f>
      </x:c>
      <x:c r="S230" s="21" t="str"/>
      <x:c r="T230" s="21" t="str"/>
      <x:c r="U230" s="21" t="str"/>
      <x:c r="V230" s="31" t="str"/>
      <x:c r="W230" s="21" t="str"/>
      <x:c r="X230" s="21" t="str">
        <x:v>未复测</x:v>
      </x:c>
      <x:c r="Y230" s="21" t="str"/>
    </x:row>
    <x:row r="231" ht="52" customHeight="1">
      <x:c r="A231" s="27" t="str">
        <x:v>UX-227</x:v>
      </x:c>
      <x:c r="B231" s="23" t="str">
        <x:v>17 日常、回流与留存</x:v>
      </x:c>
      <x:c r="C231" s="23" t="str">
        <x:v>日循环</x:v>
      </x:c>
      <x:c r="D231" s="23" t="str">
        <x:v>今日卷册/守灯归来</x:v>
      </x:c>
      <x:c r="E231" s="21" t="str">
        <x:v>第八日起日常继续有效</x:v>
      </x:c>
      <x:c r="F231" s="21" t="str">
        <x:v>七日加奖停止重复，但普通每日奖励仍可领</x:v>
      </x:c>
      <x:c r="G231" s="21" t="str">
        <x:v>第7→8→9日测试</x:v>
      </x:c>
      <x:c r="H231" s="21" t="str">
        <x:v>理解/操作</x:v>
      </x:c>
      <x:c r="I231" s="21" t="str">
        <x:v>全流程</x:v>
      </x:c>
      <x:c r="J231" s="21" t="str">
        <x:v>全平台</x:v>
      </x:c>
      <x:c r="K231" s="21" t="str"/>
      <x:c r="L231" s="29" t="str">
        <x:v>未检查</x:v>
      </x:c>
      <x:c r="M231" s="29" t="str">
        <x:v>未确认</x:v>
      </x:c>
      <x:c r="N231" s="29" t="str">
        <x:v>未确认</x:v>
      </x:c>
      <x:c r="O231" s="29" t="str"/>
      <x:c r="P231" s="29" t="str">
        <x:f>IF(OR(L231="未检查",L231="通过",L231="不适用"),"",IFERROR(VLOOKUP(M231,'口径与下拉'!$A$9:$B$14,2,FALSE),0)+IFERROR(VLOOKUP(N231,'口径与下拉'!$D$9:$E$14,2,FALSE),0)+O231)</x:f>
      </x:c>
      <x:c r="Q231" s="29" t="str"/>
      <x:c r="R231" s="29" t="str">
        <x:f>IF(P231="","",IF(P231&gt;=13,"P0",IF(P231&gt;=10,"P1",IF(P231&gt;=7,"P2","P3"))))</x:f>
      </x:c>
      <x:c r="S231" s="21" t="str"/>
      <x:c r="T231" s="21" t="str"/>
      <x:c r="U231" s="21" t="str"/>
      <x:c r="V231" s="31" t="str"/>
      <x:c r="W231" s="21" t="str"/>
      <x:c r="X231" s="21" t="str">
        <x:v>未复测</x:v>
      </x:c>
      <x:c r="Y231" s="21" t="str"/>
    </x:row>
    <x:row r="232" ht="52" customHeight="1">
      <x:c r="A232" s="27" t="str">
        <x:v>UX-228</x:v>
      </x:c>
      <x:c r="B232" s="23" t="str">
        <x:v>17 日常、回流与留存</x:v>
      </x:c>
      <x:c r="C232" s="23" t="str">
        <x:v>日循环</x:v>
      </x:c>
      <x:c r="D232" s="23" t="str">
        <x:v>今日卷册/守灯归来</x:v>
      </x:c>
      <x:c r="E232" s="21" t="str">
        <x:v>领取先校验后改状态</x:v>
      </x:c>
      <x:c r="F232" s="21" t="str">
        <x:v>满盘、存档失败、重复请求等不会出现标记已领但奖励缺失</x:v>
      </x:c>
      <x:c r="G232" s="21" t="str">
        <x:v>故障注入</x:v>
      </x:c>
      <x:c r="H232" s="21" t="str">
        <x:v>数据/信任</x:v>
      </x:c>
      <x:c r="I232" s="21" t="str">
        <x:v>全流程</x:v>
      </x:c>
      <x:c r="J232" s="21" t="str">
        <x:v>全平台</x:v>
      </x:c>
      <x:c r="K232" s="21" t="str"/>
      <x:c r="L232" s="29" t="str">
        <x:v>未检查</x:v>
      </x:c>
      <x:c r="M232" s="29" t="str">
        <x:v>未确认</x:v>
      </x:c>
      <x:c r="N232" s="29" t="str">
        <x:v>未确认</x:v>
      </x:c>
      <x:c r="O232" s="29" t="str"/>
      <x:c r="P232" s="29" t="str">
        <x:f>IF(OR(L232="未检查",L232="通过",L232="不适用"),"",IFERROR(VLOOKUP(M232,'口径与下拉'!$A$9:$B$14,2,FALSE),0)+IFERROR(VLOOKUP(N232,'口径与下拉'!$D$9:$E$14,2,FALSE),0)+O232)</x:f>
      </x:c>
      <x:c r="Q232" s="29" t="str"/>
      <x:c r="R232" s="29" t="str">
        <x:f>IF(P232="","",IF(P232&gt;=13,"P0",IF(P232&gt;=10,"P1",IF(P232&gt;=7,"P2","P3"))))</x:f>
      </x:c>
      <x:c r="S232" s="21" t="str"/>
      <x:c r="T232" s="21" t="str"/>
      <x:c r="U232" s="21" t="str"/>
      <x:c r="V232" s="31" t="str"/>
      <x:c r="W232" s="21" t="str"/>
      <x:c r="X232" s="21" t="str">
        <x:v>未复测</x:v>
      </x:c>
      <x:c r="Y232" s="21" t="str"/>
    </x:row>
    <x:row r="233" ht="52" customHeight="1">
      <x:c r="A233" s="27" t="str">
        <x:v>UX-229</x:v>
      </x:c>
      <x:c r="B233" s="23" t="str">
        <x:v>17 日常、回流与留存</x:v>
      </x:c>
      <x:c r="C233" s="23" t="str">
        <x:v>日循环</x:v>
      </x:c>
      <x:c r="D233" s="23" t="str">
        <x:v>今日卷册/守灯归来</x:v>
      </x:c>
      <x:c r="E233" s="21" t="str">
        <x:v>断签不惩罚</x:v>
      </x:c>
      <x:c r="F233" s="21" t="str">
        <x:v>不清空长期关系、不降信任、不制造羞耻文案</x:v>
      </x:c>
      <x:c r="G233" s="21" t="str">
        <x:v>间隔回访测试</x:v>
      </x:c>
      <x:c r="H233" s="21" t="str">
        <x:v>情绪/品牌</x:v>
      </x:c>
      <x:c r="I233" s="21" t="str">
        <x:v>全流程</x:v>
      </x:c>
      <x:c r="J233" s="21" t="str">
        <x:v>全平台</x:v>
      </x:c>
      <x:c r="K233" s="21" t="str"/>
      <x:c r="L233" s="29" t="str">
        <x:v>未检查</x:v>
      </x:c>
      <x:c r="M233" s="29" t="str">
        <x:v>未确认</x:v>
      </x:c>
      <x:c r="N233" s="29" t="str">
        <x:v>未确认</x:v>
      </x:c>
      <x:c r="O233" s="29" t="str"/>
      <x:c r="P233" s="29" t="str">
        <x:f>IF(OR(L233="未检查",L233="通过",L233="不适用"),"",IFERROR(VLOOKUP(M233,'口径与下拉'!$A$9:$B$14,2,FALSE),0)+IFERROR(VLOOKUP(N233,'口径与下拉'!$D$9:$E$14,2,FALSE),0)+O233)</x:f>
      </x:c>
      <x:c r="Q233" s="29" t="str"/>
      <x:c r="R233" s="29" t="str">
        <x:f>IF(P233="","",IF(P233&gt;=13,"P0",IF(P233&gt;=10,"P1",IF(P233&gt;=7,"P2","P3"))))</x:f>
      </x:c>
      <x:c r="S233" s="21" t="str"/>
      <x:c r="T233" s="21" t="str"/>
      <x:c r="U233" s="21" t="str"/>
      <x:c r="V233" s="31" t="str"/>
      <x:c r="W233" s="21" t="str"/>
      <x:c r="X233" s="21" t="str">
        <x:v>未复测</x:v>
      </x:c>
      <x:c r="Y233" s="21" t="str"/>
    </x:row>
    <x:row r="234" ht="52" customHeight="1">
      <x:c r="A234" s="27" t="str">
        <x:v>UX-230</x:v>
      </x:c>
      <x:c r="B234" s="23" t="str">
        <x:v>17 日常、回流与留存</x:v>
      </x:c>
      <x:c r="C234" s="23" t="str">
        <x:v>日循环</x:v>
      </x:c>
      <x:c r="D234" s="23" t="str">
        <x:v>今日卷册/守灯归来</x:v>
      </x:c>
      <x:c r="E234" s="21" t="str">
        <x:v>守灯归来摘要可核对</x:v>
      </x:c>
      <x:c r="F234" s="21" t="str">
        <x:v>离线时长、设施/岗位产出和入账位置清楚</x:v>
      </x:c>
      <x:c r="G234" s="21" t="str">
        <x:v>不同离线时长测试</x:v>
      </x:c>
      <x:c r="H234" s="21" t="str">
        <x:v>理解/操作</x:v>
      </x:c>
      <x:c r="I234" s="21" t="str">
        <x:v>全流程</x:v>
      </x:c>
      <x:c r="J234" s="21" t="str">
        <x:v>全平台</x:v>
      </x:c>
      <x:c r="K234" s="21" t="str"/>
      <x:c r="L234" s="29" t="str">
        <x:v>未检查</x:v>
      </x:c>
      <x:c r="M234" s="29" t="str">
        <x:v>未确认</x:v>
      </x:c>
      <x:c r="N234" s="29" t="str">
        <x:v>未确认</x:v>
      </x:c>
      <x:c r="O234" s="29" t="str"/>
      <x:c r="P234" s="29" t="str">
        <x:f>IF(OR(L234="未检查",L234="通过",L234="不适用"),"",IFERROR(VLOOKUP(M234,'口径与下拉'!$A$9:$B$14,2,FALSE),0)+IFERROR(VLOOKUP(N234,'口径与下拉'!$D$9:$E$14,2,FALSE),0)+O234)</x:f>
      </x:c>
      <x:c r="Q234" s="29" t="str"/>
      <x:c r="R234" s="29" t="str">
        <x:f>IF(P234="","",IF(P234&gt;=13,"P0",IF(P234&gt;=10,"P1",IF(P234&gt;=7,"P2","P3"))))</x:f>
      </x:c>
      <x:c r="S234" s="21" t="str"/>
      <x:c r="T234" s="21" t="str"/>
      <x:c r="U234" s="21" t="str"/>
      <x:c r="V234" s="31" t="str"/>
      <x:c r="W234" s="21" t="str"/>
      <x:c r="X234" s="21" t="str">
        <x:v>未复测</x:v>
      </x:c>
      <x:c r="Y234" s="21" t="str"/>
    </x:row>
    <x:row r="235" ht="52" customHeight="1">
      <x:c r="A235" s="27" t="str">
        <x:v>UX-231</x:v>
      </x:c>
      <x:c r="B235" s="23" t="str">
        <x:v>17 日常、回流与留存</x:v>
      </x:c>
      <x:c r="C235" s="23" t="str">
        <x:v>日循环</x:v>
      </x:c>
      <x:c r="D235" s="23" t="str">
        <x:v>今日卷册/守灯归来</x:v>
      </x:c>
      <x:c r="E235" s="21" t="str">
        <x:v>回归后下一步明确</x:v>
      </x:c>
      <x:c r="F235" s="21" t="str">
        <x:v>关闭欢迎回来后当前目标、待领取和新解锁可见</x:v>
      </x:c>
      <x:c r="G235" s="21" t="str">
        <x:v>长离线首次操作</x:v>
      </x:c>
      <x:c r="H235" s="21" t="str">
        <x:v>理解/操作</x:v>
      </x:c>
      <x:c r="I235" s="21" t="str">
        <x:v>全流程</x:v>
      </x:c>
      <x:c r="J235" s="21" t="str">
        <x:v>全平台</x:v>
      </x:c>
      <x:c r="K235" s="21" t="str"/>
      <x:c r="L235" s="29" t="str">
        <x:v>未检查</x:v>
      </x:c>
      <x:c r="M235" s="29" t="str">
        <x:v>未确认</x:v>
      </x:c>
      <x:c r="N235" s="29" t="str">
        <x:v>未确认</x:v>
      </x:c>
      <x:c r="O235" s="29" t="str"/>
      <x:c r="P235" s="29" t="str">
        <x:f>IF(OR(L235="未检查",L235="通过",L235="不适用"),"",IFERROR(VLOOKUP(M235,'口径与下拉'!$A$9:$B$14,2,FALSE),0)+IFERROR(VLOOKUP(N235,'口径与下拉'!$D$9:$E$14,2,FALSE),0)+O235)</x:f>
      </x:c>
      <x:c r="Q235" s="29" t="str"/>
      <x:c r="R235" s="29" t="str">
        <x:f>IF(P235="","",IF(P235&gt;=13,"P0",IF(P235&gt;=10,"P1",IF(P235&gt;=7,"P2","P3"))))</x:f>
      </x:c>
      <x:c r="S235" s="21" t="str"/>
      <x:c r="T235" s="21" t="str"/>
      <x:c r="U235" s="21" t="str"/>
      <x:c r="V235" s="31" t="str"/>
      <x:c r="W235" s="21" t="str"/>
      <x:c r="X235" s="21" t="str">
        <x:v>未复测</x:v>
      </x:c>
      <x:c r="Y235" s="21" t="str"/>
    </x:row>
    <x:row r="236" ht="52" customHeight="1">
      <x:c r="A236" s="27" t="str">
        <x:v>UX-232</x:v>
      </x:c>
      <x:c r="B236" s="23" t="str">
        <x:v>17 日常、回流与留存</x:v>
      </x:c>
      <x:c r="C236" s="23" t="str">
        <x:v>日循环</x:v>
      </x:c>
      <x:c r="D236" s="23" t="str">
        <x:v>今日卷册/守灯归来</x:v>
      </x:c>
      <x:c r="E236" s="21" t="str">
        <x:v>每日完成弹窗不过度打断</x:v>
      </x:c>
      <x:c r="F236" s="21" t="str">
        <x:v>只在合适节点出现一次，可关闭且不遮后续目标</x:v>
      </x:c>
      <x:c r="G236" s="21" t="str">
        <x:v>日常完成连点/重载</x:v>
      </x:c>
      <x:c r="H236" s="21" t="str">
        <x:v>理解/操作</x:v>
      </x:c>
      <x:c r="I236" s="21" t="str">
        <x:v>全流程</x:v>
      </x:c>
      <x:c r="J236" s="21" t="str">
        <x:v>全平台</x:v>
      </x:c>
      <x:c r="K236" s="21" t="str"/>
      <x:c r="L236" s="29" t="str">
        <x:v>未检查</x:v>
      </x:c>
      <x:c r="M236" s="29" t="str">
        <x:v>未确认</x:v>
      </x:c>
      <x:c r="N236" s="29" t="str">
        <x:v>未确认</x:v>
      </x:c>
      <x:c r="O236" s="29" t="str"/>
      <x:c r="P236" s="29" t="str">
        <x:f>IF(OR(L236="未检查",L236="通过",L236="不适用"),"",IFERROR(VLOOKUP(M236,'口径与下拉'!$A$9:$B$14,2,FALSE),0)+IFERROR(VLOOKUP(N236,'口径与下拉'!$D$9:$E$14,2,FALSE),0)+O236)</x:f>
      </x:c>
      <x:c r="Q236" s="29" t="str"/>
      <x:c r="R236" s="29" t="str">
        <x:f>IF(P236="","",IF(P236&gt;=13,"P0",IF(P236&gt;=10,"P1",IF(P236&gt;=7,"P2","P3"))))</x:f>
      </x:c>
      <x:c r="S236" s="21" t="str"/>
      <x:c r="T236" s="21" t="str"/>
      <x:c r="U236" s="21" t="str"/>
      <x:c r="V236" s="31" t="str"/>
      <x:c r="W236" s="21" t="str"/>
      <x:c r="X236" s="21" t="str">
        <x:v>未复测</x:v>
      </x:c>
      <x:c r="Y236" s="21" t="str"/>
    </x:row>
    <x:row r="237" ht="52" customHeight="1">
      <x:c r="A237" s="27" t="str">
        <x:v>UX-233</x:v>
      </x:c>
      <x:c r="B237" s="23" t="str">
        <x:v>17 日常、回流与留存</x:v>
      </x:c>
      <x:c r="C237" s="23" t="str">
        <x:v>日循环</x:v>
      </x:c>
      <x:c r="D237" s="23" t="str">
        <x:v>今日卷册/守灯归来</x:v>
      </x:c>
      <x:c r="E237" s="21" t="str">
        <x:v>重复任务控制疲劳</x:v>
      </x:c>
      <x:c r="F237" s="21" t="str">
        <x:v>每日目标覆盖核心循环但不过度要求重复小游戏或机械点击</x:v>
      </x:c>
      <x:c r="G237" s="21" t="str">
        <x:v>连续七日任务样本审查</x:v>
      </x:c>
      <x:c r="H237" s="21" t="str">
        <x:v>理解/操作</x:v>
      </x:c>
      <x:c r="I237" s="21" t="str">
        <x:v>全流程</x:v>
      </x:c>
      <x:c r="J237" s="21" t="str">
        <x:v>全平台</x:v>
      </x:c>
      <x:c r="K237" s="21" t="str"/>
      <x:c r="L237" s="29" t="str">
        <x:v>未检查</x:v>
      </x:c>
      <x:c r="M237" s="29" t="str">
        <x:v>未确认</x:v>
      </x:c>
      <x:c r="N237" s="29" t="str">
        <x:v>未确认</x:v>
      </x:c>
      <x:c r="O237" s="29" t="str"/>
      <x:c r="P237" s="29" t="str">
        <x:f>IF(OR(L237="未检查",L237="通过",L237="不适用"),"",IFERROR(VLOOKUP(M237,'口径与下拉'!$A$9:$B$14,2,FALSE),0)+IFERROR(VLOOKUP(N237,'口径与下拉'!$D$9:$E$14,2,FALSE),0)+O237)</x:f>
      </x:c>
      <x:c r="Q237" s="29" t="str"/>
      <x:c r="R237" s="29" t="str">
        <x:f>IF(P237="","",IF(P237&gt;=13,"P0",IF(P237&gt;=10,"P1",IF(P237&gt;=7,"P2","P3"))))</x:f>
      </x:c>
      <x:c r="S237" s="21" t="str"/>
      <x:c r="T237" s="21" t="str"/>
      <x:c r="U237" s="21" t="str"/>
      <x:c r="V237" s="31" t="str"/>
      <x:c r="W237" s="21" t="str"/>
      <x:c r="X237" s="21" t="str">
        <x:v>未复测</x:v>
      </x:c>
      <x:c r="Y237" s="21" t="str"/>
    </x:row>
    <x:row r="238" ht="52" customHeight="1">
      <x:c r="A238" s="27" t="str">
        <x:v>UX-234</x:v>
      </x:c>
      <x:c r="B238" s="23" t="str">
        <x:v>17 日常、回流与留存</x:v>
      </x:c>
      <x:c r="C238" s="23" t="str">
        <x:v>日循环</x:v>
      </x:c>
      <x:c r="D238" s="23" t="str">
        <x:v>今日卷册/守灯归来</x:v>
      </x:c>
      <x:c r="E238" s="21" t="str">
        <x:v>长线收集有清晰可达感</x:v>
      </x:c>
      <x:c r="F238" s="21" t="str">
        <x:v>12 卷、12 兽、区域与形态的进度不显得无底洞</x:v>
      </x:c>
      <x:c r="G238" s="21" t="str">
        <x:v>中长期玩家访谈</x:v>
      </x:c>
      <x:c r="H238" s="21" t="str">
        <x:v>理解/操作</x:v>
      </x:c>
      <x:c r="I238" s="21" t="str">
        <x:v>全流程</x:v>
      </x:c>
      <x:c r="J238" s="21" t="str">
        <x:v>全平台</x:v>
      </x:c>
      <x:c r="K238" s="21" t="str"/>
      <x:c r="L238" s="29" t="str">
        <x:v>未检查</x:v>
      </x:c>
      <x:c r="M238" s="29" t="str">
        <x:v>未确认</x:v>
      </x:c>
      <x:c r="N238" s="29" t="str">
        <x:v>未确认</x:v>
      </x:c>
      <x:c r="O238" s="29" t="str"/>
      <x:c r="P238" s="29" t="str">
        <x:f>IF(OR(L238="未检查",L238="通过",L238="不适用"),"",IFERROR(VLOOKUP(M238,'口径与下拉'!$A$9:$B$14,2,FALSE),0)+IFERROR(VLOOKUP(N238,'口径与下拉'!$D$9:$E$14,2,FALSE),0)+O238)</x:f>
      </x:c>
      <x:c r="Q238" s="29" t="str"/>
      <x:c r="R238" s="29" t="str">
        <x:f>IF(P238="","",IF(P238&gt;=13,"P0",IF(P238&gt;=10,"P1",IF(P238&gt;=7,"P2","P3"))))</x:f>
      </x:c>
      <x:c r="S238" s="21" t="str"/>
      <x:c r="T238" s="21" t="str"/>
      <x:c r="U238" s="21" t="str"/>
      <x:c r="V238" s="31" t="str"/>
      <x:c r="W238" s="21" t="str"/>
      <x:c r="X238" s="21" t="str">
        <x:v>未复测</x:v>
      </x:c>
      <x:c r="Y238" s="21" t="str"/>
    </x:row>
    <x:row r="239" ht="52" customHeight="1">
      <x:c r="A239" s="27" t="str">
        <x:v>UX-235</x:v>
      </x:c>
      <x:c r="B239" s="23" t="str">
        <x:v>17 日常、回流与留存</x:v>
      </x:c>
      <x:c r="C239" s="23" t="str">
        <x:v>日循环</x:v>
      </x:c>
      <x:c r="D239" s="23" t="str">
        <x:v>今日卷册/守灯归来</x:v>
      </x:c>
      <x:c r="E239" s="21" t="str">
        <x:v>无高压 FOMO</x:v>
      </x:c>
      <x:c r="F239" s="21" t="str">
        <x:v>限时、连续、回流文案不以损失恐吓；错过有可恢复路径</x:v>
      </x:c>
      <x:c r="G239" s="21" t="str">
        <x:v>活动/日常文案审查</x:v>
      </x:c>
      <x:c r="H239" s="21" t="str">
        <x:v>情绪/公平</x:v>
      </x:c>
      <x:c r="I239" s="21" t="str">
        <x:v>全流程</x:v>
      </x:c>
      <x:c r="J239" s="21" t="str">
        <x:v>全平台</x:v>
      </x:c>
      <x:c r="K239" s="21" t="str"/>
      <x:c r="L239" s="29" t="str">
        <x:v>未检查</x:v>
      </x:c>
      <x:c r="M239" s="29" t="str">
        <x:v>未确认</x:v>
      </x:c>
      <x:c r="N239" s="29" t="str">
        <x:v>未确认</x:v>
      </x:c>
      <x:c r="O239" s="29" t="str"/>
      <x:c r="P239" s="29" t="str">
        <x:f>IF(OR(L239="未检查",L239="通过",L239="不适用"),"",IFERROR(VLOOKUP(M239,'口径与下拉'!$A$9:$B$14,2,FALSE),0)+IFERROR(VLOOKUP(N239,'口径与下拉'!$D$9:$E$14,2,FALSE),0)+O239)</x:f>
      </x:c>
      <x:c r="Q239" s="29" t="str"/>
      <x:c r="R239" s="29" t="str">
        <x:f>IF(P239="","",IF(P239&gt;=13,"P0",IF(P239&gt;=10,"P1",IF(P239&gt;=7,"P2","P3"))))</x:f>
      </x:c>
      <x:c r="S239" s="21" t="str"/>
      <x:c r="T239" s="21" t="str"/>
      <x:c r="U239" s="21" t="str"/>
      <x:c r="V239" s="31" t="str"/>
      <x:c r="W239" s="21" t="str"/>
      <x:c r="X239" s="21" t="str">
        <x:v>未复测</x:v>
      </x:c>
      <x:c r="Y239" s="21" t="str"/>
    </x:row>
    <x:row r="240" ht="52" customHeight="1">
      <x:c r="A240" s="27" t="str">
        <x:v>UX-236</x:v>
      </x:c>
      <x:c r="B240" s="23" t="str">
        <x:v>17 日常、回流与留存</x:v>
      </x:c>
      <x:c r="C240" s="23" t="str">
        <x:v>日循环</x:v>
      </x:c>
      <x:c r="D240" s="23" t="str">
        <x:v>今日卷册/守灯归来</x:v>
      </x:c>
      <x:c r="E240" s="21" t="str">
        <x:v>分享动机来自成果而非强迫</x:v>
      </x:c>
      <x:c r="F240" s="21" t="str">
        <x:v>分享卡突出蜕变/收集成果；不以关键奖励强制社交</x:v>
      </x:c>
      <x:c r="G240" s="21" t="str">
        <x:v>分享入口与奖励审查</x:v>
      </x:c>
      <x:c r="H240" s="21" t="str">
        <x:v>传播/公平</x:v>
      </x:c>
      <x:c r="I240" s="21" t="str">
        <x:v>全流程</x:v>
      </x:c>
      <x:c r="J240" s="21" t="str">
        <x:v>全平台</x:v>
      </x:c>
      <x:c r="K240" s="21" t="str"/>
      <x:c r="L240" s="29" t="str">
        <x:v>未检查</x:v>
      </x:c>
      <x:c r="M240" s="29" t="str">
        <x:v>未确认</x:v>
      </x:c>
      <x:c r="N240" s="29" t="str">
        <x:v>未确认</x:v>
      </x:c>
      <x:c r="O240" s="29" t="str"/>
      <x:c r="P240" s="29" t="str">
        <x:f>IF(OR(L240="未检查",L240="通过",L240="不适用"),"",IFERROR(VLOOKUP(M240,'口径与下拉'!$A$9:$B$14,2,FALSE),0)+IFERROR(VLOOKUP(N240,'口径与下拉'!$D$9:$E$14,2,FALSE),0)+O240)</x:f>
      </x:c>
      <x:c r="Q240" s="29" t="str"/>
      <x:c r="R240" s="29" t="str">
        <x:f>IF(P240="","",IF(P240&gt;=13,"P0",IF(P240&gt;=10,"P1",IF(P240&gt;=7,"P2","P3"))))</x:f>
      </x:c>
      <x:c r="S240" s="21" t="str"/>
      <x:c r="T240" s="21" t="str"/>
      <x:c r="U240" s="21" t="str"/>
      <x:c r="V240" s="31" t="str"/>
      <x:c r="W240" s="21" t="str"/>
      <x:c r="X240" s="21" t="str">
        <x:v>未复测</x:v>
      </x:c>
      <x:c r="Y240" s="21" t="str"/>
    </x:row>
    <x:row r="241" ht="52" customHeight="1">
      <x:c r="A241" s="27" t="str">
        <x:v>UX-237</x:v>
      </x:c>
      <x:c r="B241" s="23" t="str">
        <x:v>18 存档、迁移、导入导出与事务</x:v>
      </x:c>
      <x:c r="C241" s="23" t="str">
        <x:v>数据可靠性</x:v>
      </x:c>
      <x:c r="D241" s="23" t="str">
        <x:v>本地存档</x:v>
      </x:c>
      <x:c r="E241" s="21" t="str">
        <x:v>LocalStorage A/B 与 IndexedDB 正确仲裁</x:v>
      </x:c>
      <x:c r="F241" s="21" t="str">
        <x:v>选择 revision 最新且校验有效的副本，结果可解释</x:v>
      </x:c>
      <x:c r="G241" s="21" t="str">
        <x:v>构造多副本组合</x:v>
      </x:c>
      <x:c r="H241" s="21" t="str">
        <x:v>数据/信任</x:v>
      </x:c>
      <x:c r="I241" s="21" t="str">
        <x:v>设置/恢复</x:v>
      </x:c>
      <x:c r="J241" s="21" t="str">
        <x:v>全平台</x:v>
      </x:c>
      <x:c r="K241" s="21" t="str"/>
      <x:c r="L241" s="29" t="str">
        <x:v>未检查</x:v>
      </x:c>
      <x:c r="M241" s="29" t="str">
        <x:v>未确认</x:v>
      </x:c>
      <x:c r="N241" s="29" t="str">
        <x:v>未确认</x:v>
      </x:c>
      <x:c r="O241" s="29" t="str"/>
      <x:c r="P241" s="29" t="str">
        <x:f>IF(OR(L241="未检查",L241="通过",L241="不适用"),"",IFERROR(VLOOKUP(M241,'口径与下拉'!$A$9:$B$14,2,FALSE),0)+IFERROR(VLOOKUP(N241,'口径与下拉'!$D$9:$E$14,2,FALSE),0)+O241)</x:f>
      </x:c>
      <x:c r="Q241" s="29" t="str"/>
      <x:c r="R241" s="29" t="str">
        <x:f>IF(P241="","",IF(P241&gt;=13,"P0",IF(P241&gt;=10,"P1",IF(P241&gt;=7,"P2","P3"))))</x:f>
      </x:c>
      <x:c r="S241" s="21" t="str"/>
      <x:c r="T241" s="21" t="str"/>
      <x:c r="U241" s="21" t="str"/>
      <x:c r="V241" s="31" t="str"/>
      <x:c r="W241" s="21" t="str"/>
      <x:c r="X241" s="21" t="str">
        <x:v>未复测</x:v>
      </x:c>
      <x:c r="Y241" s="21" t="str"/>
    </x:row>
    <x:row r="242" ht="52" customHeight="1">
      <x:c r="A242" s="27" t="str">
        <x:v>UX-238</x:v>
      </x:c>
      <x:c r="B242" s="23" t="str">
        <x:v>18 存档、迁移、导入导出与事务</x:v>
      </x:c>
      <x:c r="C242" s="23" t="str">
        <x:v>数据可靠性</x:v>
      </x:c>
      <x:c r="D242" s="23" t="str">
        <x:v>本地存档</x:v>
      </x:c>
      <x:c r="E242" s="21" t="str">
        <x:v>同 revision 异 checksum 冲突可处理</x:v>
      </x:c>
      <x:c r="F242" s="21" t="str">
        <x:v>不静默覆盖；按规则合并/提示/备份</x:v>
      </x:c>
      <x:c r="G242" s="21" t="str">
        <x:v>冲突夹具测试</x:v>
      </x:c>
      <x:c r="H242" s="21" t="str">
        <x:v>数据/信任</x:v>
      </x:c>
      <x:c r="I242" s="21" t="str">
        <x:v>全流程</x:v>
      </x:c>
      <x:c r="J242" s="21" t="str">
        <x:v>全平台</x:v>
      </x:c>
      <x:c r="K242" s="21" t="str"/>
      <x:c r="L242" s="29" t="str">
        <x:v>未检查</x:v>
      </x:c>
      <x:c r="M242" s="29" t="str">
        <x:v>未确认</x:v>
      </x:c>
      <x:c r="N242" s="29" t="str">
        <x:v>未确认</x:v>
      </x:c>
      <x:c r="O242" s="29" t="str"/>
      <x:c r="P242" s="29" t="str">
        <x:f>IF(OR(L242="未检查",L242="通过",L242="不适用"),"",IFERROR(VLOOKUP(M242,'口径与下拉'!$A$9:$B$14,2,FALSE),0)+IFERROR(VLOOKUP(N242,'口径与下拉'!$D$9:$E$14,2,FALSE),0)+O242)</x:f>
      </x:c>
      <x:c r="Q242" s="29" t="str"/>
      <x:c r="R242" s="29" t="str">
        <x:f>IF(P242="","",IF(P242&gt;=13,"P0",IF(P242&gt;=10,"P1",IF(P242&gt;=7,"P2","P3"))))</x:f>
      </x:c>
      <x:c r="S242" s="21" t="str"/>
      <x:c r="T242" s="21" t="str"/>
      <x:c r="U242" s="21" t="str"/>
      <x:c r="V242" s="31" t="str"/>
      <x:c r="W242" s="21" t="str"/>
      <x:c r="X242" s="21" t="str">
        <x:v>未复测</x:v>
      </x:c>
      <x:c r="Y242" s="21" t="str"/>
    </x:row>
    <x:row r="243" ht="52" customHeight="1">
      <x:c r="A243" s="27" t="str">
        <x:v>UX-239</x:v>
      </x:c>
      <x:c r="B243" s="23" t="str">
        <x:v>18 存档、迁移、导入导出与事务</x:v>
      </x:c>
      <x:c r="C243" s="23" t="str">
        <x:v>数据可靠性</x:v>
      </x:c>
      <x:c r="D243" s="23" t="str">
        <x:v>本地存档</x:v>
      </x:c>
      <x:c r="E243" s="21" t="str">
        <x:v>乐观并发防止旧状态覆盖新状态</x:v>
      </x:c>
      <x:c r="F243" s="21" t="str">
        <x:v>多标签页/异步保存检测 revision 冲突</x:v>
      </x:c>
      <x:c r="G243" s="21" t="str">
        <x:v>双标签并发操作</x:v>
      </x:c>
      <x:c r="H243" s="21" t="str">
        <x:v>理解/操作</x:v>
      </x:c>
      <x:c r="I243" s="21" t="str">
        <x:v>全流程</x:v>
      </x:c>
      <x:c r="J243" s="21" t="str">
        <x:v>全平台</x:v>
      </x:c>
      <x:c r="K243" s="21" t="str"/>
      <x:c r="L243" s="29" t="str">
        <x:v>未检查</x:v>
      </x:c>
      <x:c r="M243" s="29" t="str">
        <x:v>未确认</x:v>
      </x:c>
      <x:c r="N243" s="29" t="str">
        <x:v>未确认</x:v>
      </x:c>
      <x:c r="O243" s="29" t="str"/>
      <x:c r="P243" s="29" t="str">
        <x:f>IF(OR(L243="未检查",L243="通过",L243="不适用"),"",IFERROR(VLOOKUP(M243,'口径与下拉'!$A$9:$B$14,2,FALSE),0)+IFERROR(VLOOKUP(N243,'口径与下拉'!$D$9:$E$14,2,FALSE),0)+O243)</x:f>
      </x:c>
      <x:c r="Q243" s="29" t="str"/>
      <x:c r="R243" s="29" t="str">
        <x:f>IF(P243="","",IF(P243&gt;=13,"P0",IF(P243&gt;=10,"P1",IF(P243&gt;=7,"P2","P3"))))</x:f>
      </x:c>
      <x:c r="S243" s="21" t="str"/>
      <x:c r="T243" s="21" t="str"/>
      <x:c r="U243" s="21" t="str"/>
      <x:c r="V243" s="31" t="str"/>
      <x:c r="W243" s="21" t="str"/>
      <x:c r="X243" s="21" t="str">
        <x:v>未复测</x:v>
      </x:c>
      <x:c r="Y243" s="21" t="str"/>
    </x:row>
    <x:row r="244" ht="52" customHeight="1">
      <x:c r="A244" s="27" t="str">
        <x:v>UX-240</x:v>
      </x:c>
      <x:c r="B244" s="23" t="str">
        <x:v>18 存档、迁移、导入导出与事务</x:v>
      </x:c>
      <x:c r="C244" s="23" t="str">
        <x:v>数据可靠性</x:v>
      </x:c>
      <x:c r="D244" s="23" t="str">
        <x:v>本地存档</x:v>
      </x:c>
      <x:c r="E244" s="21" t="str">
        <x:v>未来版本存档进入只读保护</x:v>
      </x:c>
      <x:c r="F244" s="21" t="str">
        <x:v>可查看/导出但不能被旧版本改写</x:v>
      </x:c>
      <x:c r="G244" s="21" t="str">
        <x:v>提升 schema 后导入</x:v>
      </x:c>
      <x:c r="H244" s="21" t="str">
        <x:v>数据/兼容</x:v>
      </x:c>
      <x:c r="I244" s="21" t="str">
        <x:v>全流程</x:v>
      </x:c>
      <x:c r="J244" s="21" t="str">
        <x:v>全平台</x:v>
      </x:c>
      <x:c r="K244" s="21" t="str"/>
      <x:c r="L244" s="29" t="str">
        <x:v>未检查</x:v>
      </x:c>
      <x:c r="M244" s="29" t="str">
        <x:v>未确认</x:v>
      </x:c>
      <x:c r="N244" s="29" t="str">
        <x:v>未确认</x:v>
      </x:c>
      <x:c r="O244" s="29" t="str"/>
      <x:c r="P244" s="29" t="str">
        <x:f>IF(OR(L244="未检查",L244="通过",L244="不适用"),"",IFERROR(VLOOKUP(M244,'口径与下拉'!$A$9:$B$14,2,FALSE),0)+IFERROR(VLOOKUP(N244,'口径与下拉'!$D$9:$E$14,2,FALSE),0)+O244)</x:f>
      </x:c>
      <x:c r="Q244" s="29" t="str"/>
      <x:c r="R244" s="29" t="str">
        <x:f>IF(P244="","",IF(P244&gt;=13,"P0",IF(P244&gt;=10,"P1",IF(P244&gt;=7,"P2","P3"))))</x:f>
      </x:c>
      <x:c r="S244" s="21" t="str"/>
      <x:c r="T244" s="21" t="str"/>
      <x:c r="U244" s="21" t="str"/>
      <x:c r="V244" s="31" t="str"/>
      <x:c r="W244" s="21" t="str"/>
      <x:c r="X244" s="21" t="str">
        <x:v>未复测</x:v>
      </x:c>
      <x:c r="Y244" s="21" t="str"/>
    </x:row>
    <x:row r="245" ht="52" customHeight="1">
      <x:c r="A245" s="27" t="str">
        <x:v>UX-241</x:v>
      </x:c>
      <x:c r="B245" s="23" t="str">
        <x:v>18 存档、迁移、导入导出与事务</x:v>
      </x:c>
      <x:c r="C245" s="23" t="str">
        <x:v>数据可靠性</x:v>
      </x:c>
      <x:c r="D245" s="23" t="str">
        <x:v>本地存档</x:v>
      </x:c>
      <x:c r="E245" s="21" t="str">
        <x:v>迁移幂等</x:v>
      </x:c>
      <x:c r="F245" s="21" t="str">
        <x:v>同一旧档迁移一次或多次结果完全一致</x:v>
      </x:c>
      <x:c r="G245" s="21" t="str">
        <x:v>重复迁移哈希对比</x:v>
      </x:c>
      <x:c r="H245" s="21" t="str">
        <x:v>理解/操作</x:v>
      </x:c>
      <x:c r="I245" s="21" t="str">
        <x:v>全流程</x:v>
      </x:c>
      <x:c r="J245" s="21" t="str">
        <x:v>全平台</x:v>
      </x:c>
      <x:c r="K245" s="21" t="str"/>
      <x:c r="L245" s="29" t="str">
        <x:v>未检查</x:v>
      </x:c>
      <x:c r="M245" s="29" t="str">
        <x:v>未确认</x:v>
      </x:c>
      <x:c r="N245" s="29" t="str">
        <x:v>未确认</x:v>
      </x:c>
      <x:c r="O245" s="29" t="str"/>
      <x:c r="P245" s="29" t="str">
        <x:f>IF(OR(L245="未检查",L245="通过",L245="不适用"),"",IFERROR(VLOOKUP(M245,'口径与下拉'!$A$9:$B$14,2,FALSE),0)+IFERROR(VLOOKUP(N245,'口径与下拉'!$D$9:$E$14,2,FALSE),0)+O245)</x:f>
      </x:c>
      <x:c r="Q245" s="29" t="str"/>
      <x:c r="R245" s="29" t="str">
        <x:f>IF(P245="","",IF(P245&gt;=13,"P0",IF(P245&gt;=10,"P1",IF(P245&gt;=7,"P2","P3"))))</x:f>
      </x:c>
      <x:c r="S245" s="21" t="str"/>
      <x:c r="T245" s="21" t="str"/>
      <x:c r="U245" s="21" t="str"/>
      <x:c r="V245" s="31" t="str"/>
      <x:c r="W245" s="21" t="str"/>
      <x:c r="X245" s="21" t="str">
        <x:v>未复测</x:v>
      </x:c>
      <x:c r="Y245" s="21" t="str"/>
    </x:row>
    <x:row r="246" ht="52" customHeight="1">
      <x:c r="A246" s="27" t="str">
        <x:v>UX-242</x:v>
      </x:c>
      <x:c r="B246" s="23" t="str">
        <x:v>18 存档、迁移、导入导出与事务</x:v>
      </x:c>
      <x:c r="C246" s="23" t="str">
        <x:v>数据可靠性</x:v>
      </x:c>
      <x:c r="D246" s="23" t="str">
        <x:v>本地存档</x:v>
      </x:c>
      <x:c r="E246" s="21" t="str">
        <x:v>v9 棋盘与药匣物品守恒</x:v>
      </x:c>
      <x:c r="F246" s="21" t="str">
        <x:v>物品多重集不变；溢出进入待入盘队列</x:v>
      </x:c>
      <x:c r="G246" s="21" t="str">
        <x:v>迁移前后统计</x:v>
      </x:c>
      <x:c r="H246" s="21" t="str">
        <x:v>理解/操作</x:v>
      </x:c>
      <x:c r="I246" s="21" t="str">
        <x:v>全流程</x:v>
      </x:c>
      <x:c r="J246" s="21" t="str">
        <x:v>全平台</x:v>
      </x:c>
      <x:c r="K246" s="21" t="str"/>
      <x:c r="L246" s="29" t="str">
        <x:v>未检查</x:v>
      </x:c>
      <x:c r="M246" s="29" t="str">
        <x:v>未确认</x:v>
      </x:c>
      <x:c r="N246" s="29" t="str">
        <x:v>未确认</x:v>
      </x:c>
      <x:c r="O246" s="29" t="str"/>
      <x:c r="P246" s="29" t="str">
        <x:f>IF(OR(L246="未检查",L246="通过",L246="不适用"),"",IFERROR(VLOOKUP(M246,'口径与下拉'!$A$9:$B$14,2,FALSE),0)+IFERROR(VLOOKUP(N246,'口径与下拉'!$D$9:$E$14,2,FALSE),0)+O246)</x:f>
      </x:c>
      <x:c r="Q246" s="29" t="str"/>
      <x:c r="R246" s="29" t="str">
        <x:f>IF(P246="","",IF(P246&gt;=13,"P0",IF(P246&gt;=10,"P1",IF(P246&gt;=7,"P2","P3"))))</x:f>
      </x:c>
      <x:c r="S246" s="21" t="str"/>
      <x:c r="T246" s="21" t="str"/>
      <x:c r="U246" s="21" t="str"/>
      <x:c r="V246" s="31" t="str"/>
      <x:c r="W246" s="21" t="str"/>
      <x:c r="X246" s="21" t="str">
        <x:v>未复测</x:v>
      </x:c>
      <x:c r="Y246" s="21" t="str"/>
    </x:row>
    <x:row r="247" ht="52" customHeight="1">
      <x:c r="A247" s="27" t="str">
        <x:v>UX-243</x:v>
      </x:c>
      <x:c r="B247" s="23" t="str">
        <x:v>18 存档、迁移、导入导出与事务</x:v>
      </x:c>
      <x:c r="C247" s="23" t="str">
        <x:v>数据可靠性</x:v>
      </x:c>
      <x:c r="D247" s="23" t="str">
        <x:v>本地存档</x:v>
      </x:c>
      <x:c r="E247" s="21" t="str">
        <x:v>无语义变化不增加 revision</x:v>
      </x:c>
      <x:c r="F247" s="21" t="str">
        <x:v>仅打开页面/重复保存不会制造版本膨胀</x:v>
      </x:c>
      <x:c r="G247" s="21" t="str">
        <x:v>空操作保存测试</x:v>
      </x:c>
      <x:c r="H247" s="21" t="str">
        <x:v>理解/操作</x:v>
      </x:c>
      <x:c r="I247" s="21" t="str">
        <x:v>全流程</x:v>
      </x:c>
      <x:c r="J247" s="21" t="str">
        <x:v>全平台</x:v>
      </x:c>
      <x:c r="K247" s="21" t="str"/>
      <x:c r="L247" s="29" t="str">
        <x:v>未检查</x:v>
      </x:c>
      <x:c r="M247" s="29" t="str">
        <x:v>未确认</x:v>
      </x:c>
      <x:c r="N247" s="29" t="str">
        <x:v>未确认</x:v>
      </x:c>
      <x:c r="O247" s="29" t="str"/>
      <x:c r="P247" s="29" t="str">
        <x:f>IF(OR(L247="未检查",L247="通过",L247="不适用"),"",IFERROR(VLOOKUP(M247,'口径与下拉'!$A$9:$B$14,2,FALSE),0)+IFERROR(VLOOKUP(N247,'口径与下拉'!$D$9:$E$14,2,FALSE),0)+O247)</x:f>
      </x:c>
      <x:c r="Q247" s="29" t="str"/>
      <x:c r="R247" s="29" t="str">
        <x:f>IF(P247="","",IF(P247&gt;=13,"P0",IF(P247&gt;=10,"P1",IF(P247&gt;=7,"P2","P3"))))</x:f>
      </x:c>
      <x:c r="S247" s="21" t="str"/>
      <x:c r="T247" s="21" t="str"/>
      <x:c r="U247" s="21" t="str"/>
      <x:c r="V247" s="31" t="str"/>
      <x:c r="W247" s="21" t="str"/>
      <x:c r="X247" s="21" t="str">
        <x:v>未复测</x:v>
      </x:c>
      <x:c r="Y247" s="21" t="str"/>
    </x:row>
    <x:row r="248" ht="52" customHeight="1">
      <x:c r="A248" s="27" t="str">
        <x:v>UX-244</x:v>
      </x:c>
      <x:c r="B248" s="23" t="str">
        <x:v>18 存档、迁移、导入导出与事务</x:v>
      </x:c>
      <x:c r="C248" s="23" t="str">
        <x:v>数据可靠性</x:v>
      </x:c>
      <x:c r="D248" s="23" t="str">
        <x:v>本地存档</x:v>
      </x:c>
      <x:c r="E248" s="21" t="str">
        <x:v>关键结算有 checkpoint</x:v>
      </x:c>
      <x:c r="F248" s="21" t="str">
        <x:v>照料、订单、修缮、奖励、蜕变等异常后可恢复到安全状态</x:v>
      </x:c>
      <x:c r="G248" s="21" t="str">
        <x:v>各节点故障注入</x:v>
      </x:c>
      <x:c r="H248" s="21" t="str">
        <x:v>理解/操作</x:v>
      </x:c>
      <x:c r="I248" s="21" t="str">
        <x:v>全流程</x:v>
      </x:c>
      <x:c r="J248" s="21" t="str">
        <x:v>全平台</x:v>
      </x:c>
      <x:c r="K248" s="21" t="str"/>
      <x:c r="L248" s="29" t="str">
        <x:v>未检查</x:v>
      </x:c>
      <x:c r="M248" s="29" t="str">
        <x:v>未确认</x:v>
      </x:c>
      <x:c r="N248" s="29" t="str">
        <x:v>未确认</x:v>
      </x:c>
      <x:c r="O248" s="29" t="str"/>
      <x:c r="P248" s="29" t="str">
        <x:f>IF(OR(L248="未检查",L248="通过",L248="不适用"),"",IFERROR(VLOOKUP(M248,'口径与下拉'!$A$9:$B$14,2,FALSE),0)+IFERROR(VLOOKUP(N248,'口径与下拉'!$D$9:$E$14,2,FALSE),0)+O248)</x:f>
      </x:c>
      <x:c r="Q248" s="29" t="str"/>
      <x:c r="R248" s="29" t="str">
        <x:f>IF(P248="","",IF(P248&gt;=13,"P0",IF(P248&gt;=10,"P1",IF(P248&gt;=7,"P2","P3"))))</x:f>
      </x:c>
      <x:c r="S248" s="21" t="str"/>
      <x:c r="T248" s="21" t="str"/>
      <x:c r="U248" s="21" t="str"/>
      <x:c r="V248" s="31" t="str"/>
      <x:c r="W248" s="21" t="str"/>
      <x:c r="X248" s="21" t="str">
        <x:v>未复测</x:v>
      </x:c>
      <x:c r="Y248" s="21" t="str"/>
    </x:row>
    <x:row r="249" ht="52" customHeight="1">
      <x:c r="A249" s="27" t="str">
        <x:v>UX-245</x:v>
      </x:c>
      <x:c r="B249" s="23" t="str">
        <x:v>18 存档、迁移、导入导出与事务</x:v>
      </x:c>
      <x:c r="C249" s="23" t="str">
        <x:v>数据可靠性</x:v>
      </x:c>
      <x:c r="D249" s="23" t="str">
        <x:v>本地存档</x:v>
      </x:c>
      <x:c r="E249" s="21" t="str">
        <x:v>普通保存不无限增长历史</x:v>
      </x:c>
      <x:c r="F249" s="21" t="str">
        <x:v>长期游玩存储量稳定，不因每次点击堆积备份</x:v>
      </x:c>
      <x:c r="G249" s="21" t="str">
        <x:v>长时间自动操作</x:v>
      </x:c>
      <x:c r="H249" s="21" t="str">
        <x:v>理解/操作</x:v>
      </x:c>
      <x:c r="I249" s="21" t="str">
        <x:v>全流程</x:v>
      </x:c>
      <x:c r="J249" s="21" t="str">
        <x:v>全平台</x:v>
      </x:c>
      <x:c r="K249" s="21" t="str"/>
      <x:c r="L249" s="29" t="str">
        <x:v>未检查</x:v>
      </x:c>
      <x:c r="M249" s="29" t="str">
        <x:v>未确认</x:v>
      </x:c>
      <x:c r="N249" s="29" t="str">
        <x:v>未确认</x:v>
      </x:c>
      <x:c r="O249" s="29" t="str"/>
      <x:c r="P249" s="29" t="str">
        <x:f>IF(OR(L249="未检查",L249="通过",L249="不适用"),"",IFERROR(VLOOKUP(M249,'口径与下拉'!$A$9:$B$14,2,FALSE),0)+IFERROR(VLOOKUP(N249,'口径与下拉'!$D$9:$E$14,2,FALSE),0)+O249)</x:f>
      </x:c>
      <x:c r="Q249" s="29" t="str"/>
      <x:c r="R249" s="29" t="str">
        <x:f>IF(P249="","",IF(P249&gt;=13,"P0",IF(P249&gt;=10,"P1",IF(P249&gt;=7,"P2","P3"))))</x:f>
      </x:c>
      <x:c r="S249" s="21" t="str"/>
      <x:c r="T249" s="21" t="str"/>
      <x:c r="U249" s="21" t="str"/>
      <x:c r="V249" s="31" t="str"/>
      <x:c r="W249" s="21" t="str"/>
      <x:c r="X249" s="21" t="str">
        <x:v>未复测</x:v>
      </x:c>
      <x:c r="Y249" s="21" t="str"/>
    </x:row>
    <x:row r="250" ht="52" customHeight="1">
      <x:c r="A250" s="27" t="str">
        <x:v>UX-246</x:v>
      </x:c>
      <x:c r="B250" s="23" t="str">
        <x:v>18 存档、迁移、导入导出与事务</x:v>
      </x:c>
      <x:c r="C250" s="23" t="str">
        <x:v>数据可靠性</x:v>
      </x:c>
      <x:c r="D250" s="23" t="str">
        <x:v>本地存档</x:v>
      </x:c>
      <x:c r="E250" s="21" t="str">
        <x:v>导出文件完整且可再次导入</x:v>
      </x:c>
      <x:c r="F250" s="21" t="str">
        <x:v>包含版本与校验；导出→清档→导入后关键状态一致</x:v>
      </x:c>
      <x:c r="G250" s="21" t="str">
        <x:v>往返校验</x:v>
      </x:c>
      <x:c r="H250" s="21" t="str">
        <x:v>理解/操作</x:v>
      </x:c>
      <x:c r="I250" s="21" t="str">
        <x:v>全流程</x:v>
      </x:c>
      <x:c r="J250" s="21" t="str">
        <x:v>全平台</x:v>
      </x:c>
      <x:c r="K250" s="21" t="str"/>
      <x:c r="L250" s="29" t="str">
        <x:v>未检查</x:v>
      </x:c>
      <x:c r="M250" s="29" t="str">
        <x:v>未确认</x:v>
      </x:c>
      <x:c r="N250" s="29" t="str">
        <x:v>未确认</x:v>
      </x:c>
      <x:c r="O250" s="29" t="str"/>
      <x:c r="P250" s="29" t="str">
        <x:f>IF(OR(L250="未检查",L250="通过",L250="不适用"),"",IFERROR(VLOOKUP(M250,'口径与下拉'!$A$9:$B$14,2,FALSE),0)+IFERROR(VLOOKUP(N250,'口径与下拉'!$D$9:$E$14,2,FALSE),0)+O250)</x:f>
      </x:c>
      <x:c r="Q250" s="29" t="str"/>
      <x:c r="R250" s="29" t="str">
        <x:f>IF(P250="","",IF(P250&gt;=13,"P0",IF(P250&gt;=10,"P1",IF(P250&gt;=7,"P2","P3"))))</x:f>
      </x:c>
      <x:c r="S250" s="21" t="str"/>
      <x:c r="T250" s="21" t="str"/>
      <x:c r="U250" s="21" t="str"/>
      <x:c r="V250" s="31" t="str"/>
      <x:c r="W250" s="21" t="str"/>
      <x:c r="X250" s="21" t="str">
        <x:v>未复测</x:v>
      </x:c>
      <x:c r="Y250" s="21" t="str"/>
    </x:row>
    <x:row r="251" ht="52" customHeight="1">
      <x:c r="A251" s="27" t="str">
        <x:v>UX-247</x:v>
      </x:c>
      <x:c r="B251" s="23" t="str">
        <x:v>18 存档、迁移、导入导出与事务</x:v>
      </x:c>
      <x:c r="C251" s="23" t="str">
        <x:v>数据可靠性</x:v>
      </x:c>
      <x:c r="D251" s="23" t="str">
        <x:v>本地存档</x:v>
      </x:c>
      <x:c r="E251" s="21" t="str">
        <x:v>导入前验证格式与版本</x:v>
      </x:c>
      <x:c r="F251" s="21" t="str">
        <x:v>损坏、伪造、未来版本、超大文件不会部分写入</x:v>
      </x:c>
      <x:c r="G251" s="21" t="str">
        <x:v>异常文件矩阵</x:v>
      </x:c>
      <x:c r="H251" s="21" t="str">
        <x:v>理解/操作</x:v>
      </x:c>
      <x:c r="I251" s="21" t="str">
        <x:v>全流程</x:v>
      </x:c>
      <x:c r="J251" s="21" t="str">
        <x:v>全平台</x:v>
      </x:c>
      <x:c r="K251" s="21" t="str"/>
      <x:c r="L251" s="29" t="str">
        <x:v>未检查</x:v>
      </x:c>
      <x:c r="M251" s="29" t="str">
        <x:v>未确认</x:v>
      </x:c>
      <x:c r="N251" s="29" t="str">
        <x:v>未确认</x:v>
      </x:c>
      <x:c r="O251" s="29" t="str"/>
      <x:c r="P251" s="29" t="str">
        <x:f>IF(OR(L251="未检查",L251="通过",L251="不适用"),"",IFERROR(VLOOKUP(M251,'口径与下拉'!$A$9:$B$14,2,FALSE),0)+IFERROR(VLOOKUP(N251,'口径与下拉'!$D$9:$E$14,2,FALSE),0)+O251)</x:f>
      </x:c>
      <x:c r="Q251" s="29" t="str"/>
      <x:c r="R251" s="29" t="str">
        <x:f>IF(P251="","",IF(P251&gt;=13,"P0",IF(P251&gt;=10,"P1",IF(P251&gt;=7,"P2","P3"))))</x:f>
      </x:c>
      <x:c r="S251" s="21" t="str"/>
      <x:c r="T251" s="21" t="str"/>
      <x:c r="U251" s="21" t="str"/>
      <x:c r="V251" s="31" t="str"/>
      <x:c r="W251" s="21" t="str"/>
      <x:c r="X251" s="21" t="str">
        <x:v>未复测</x:v>
      </x:c>
      <x:c r="Y251" s="21" t="str"/>
    </x:row>
    <x:row r="252" ht="52" customHeight="1">
      <x:c r="A252" s="27" t="str">
        <x:v>UX-248</x:v>
      </x:c>
      <x:c r="B252" s="23" t="str">
        <x:v>18 存档、迁移、导入导出与事务</x:v>
      </x:c>
      <x:c r="C252" s="23" t="str">
        <x:v>数据可靠性</x:v>
      </x:c>
      <x:c r="D252" s="23" t="str">
        <x:v>本地存档</x:v>
      </x:c>
      <x:c r="E252" s="21" t="str">
        <x:v>导入覆盖有明确确认和备份</x:v>
      </x:c>
      <x:c r="F252" s="21" t="str">
        <x:v>说明将替换的档案；取消无变化；成功可回退</x:v>
      </x:c>
      <x:c r="G252" s="21" t="str">
        <x:v>确认/取消/失败测试</x:v>
      </x:c>
      <x:c r="H252" s="21" t="str">
        <x:v>理解/操作</x:v>
      </x:c>
      <x:c r="I252" s="21" t="str">
        <x:v>全流程</x:v>
      </x:c>
      <x:c r="J252" s="21" t="str">
        <x:v>全平台</x:v>
      </x:c>
      <x:c r="K252" s="21" t="str"/>
      <x:c r="L252" s="29" t="str">
        <x:v>未检查</x:v>
      </x:c>
      <x:c r="M252" s="29" t="str">
        <x:v>未确认</x:v>
      </x:c>
      <x:c r="N252" s="29" t="str">
        <x:v>未确认</x:v>
      </x:c>
      <x:c r="O252" s="29" t="str"/>
      <x:c r="P252" s="29" t="str">
        <x:f>IF(OR(L252="未检查",L252="通过",L252="不适用"),"",IFERROR(VLOOKUP(M252,'口径与下拉'!$A$9:$B$14,2,FALSE),0)+IFERROR(VLOOKUP(N252,'口径与下拉'!$D$9:$E$14,2,FALSE),0)+O252)</x:f>
      </x:c>
      <x:c r="Q252" s="29" t="str"/>
      <x:c r="R252" s="29" t="str">
        <x:f>IF(P252="","",IF(P252&gt;=13,"P0",IF(P252&gt;=10,"P1",IF(P252&gt;=7,"P2","P3"))))</x:f>
      </x:c>
      <x:c r="S252" s="21" t="str"/>
      <x:c r="T252" s="21" t="str"/>
      <x:c r="U252" s="21" t="str"/>
      <x:c r="V252" s="31" t="str"/>
      <x:c r="W252" s="21" t="str"/>
      <x:c r="X252" s="21" t="str">
        <x:v>未复测</x:v>
      </x:c>
      <x:c r="Y252" s="21" t="str"/>
    </x:row>
    <x:row r="253" ht="52" customHeight="1">
      <x:c r="A253" s="27" t="str">
        <x:v>UX-249</x:v>
      </x:c>
      <x:c r="B253" s="23" t="str">
        <x:v>18 存档、迁移、导入导出与事务</x:v>
      </x:c>
      <x:c r="C253" s="23" t="str">
        <x:v>数据可靠性</x:v>
      </x:c>
      <x:c r="D253" s="23" t="str">
        <x:v>本地存档</x:v>
      </x:c>
      <x:c r="E253" s="21" t="str">
        <x:v>损坏档自动恢复不过度承诺</x:v>
      </x:c>
      <x:c r="F253" s="21" t="str">
        <x:v>说明使用哪个备份及可能损失；无法恢复时仍可导出诊断</x:v>
      </x:c>
      <x:c r="G253" s="21" t="str">
        <x:v>破坏各副本</x:v>
      </x:c>
      <x:c r="H253" s="21" t="str">
        <x:v>理解/操作</x:v>
      </x:c>
      <x:c r="I253" s="21" t="str">
        <x:v>全流程</x:v>
      </x:c>
      <x:c r="J253" s="21" t="str">
        <x:v>全平台</x:v>
      </x:c>
      <x:c r="K253" s="21" t="str"/>
      <x:c r="L253" s="29" t="str">
        <x:v>未检查</x:v>
      </x:c>
      <x:c r="M253" s="29" t="str">
        <x:v>未确认</x:v>
      </x:c>
      <x:c r="N253" s="29" t="str">
        <x:v>未确认</x:v>
      </x:c>
      <x:c r="O253" s="29" t="str"/>
      <x:c r="P253" s="29" t="str">
        <x:f>IF(OR(L253="未检查",L253="通过",L253="不适用"),"",IFERROR(VLOOKUP(M253,'口径与下拉'!$A$9:$B$14,2,FALSE),0)+IFERROR(VLOOKUP(N253,'口径与下拉'!$D$9:$E$14,2,FALSE),0)+O253)</x:f>
      </x:c>
      <x:c r="Q253" s="29" t="str"/>
      <x:c r="R253" s="29" t="str">
        <x:f>IF(P253="","",IF(P253&gt;=13,"P0",IF(P253&gt;=10,"P1",IF(P253&gt;=7,"P2","P3"))))</x:f>
      </x:c>
      <x:c r="S253" s="21" t="str"/>
      <x:c r="T253" s="21" t="str"/>
      <x:c r="U253" s="21" t="str"/>
      <x:c r="V253" s="31" t="str"/>
      <x:c r="W253" s="21" t="str"/>
      <x:c r="X253" s="21" t="str">
        <x:v>未复测</x:v>
      </x:c>
      <x:c r="Y253" s="21" t="str"/>
    </x:row>
    <x:row r="254" ht="52" customHeight="1">
      <x:c r="A254" s="27" t="str">
        <x:v>UX-250</x:v>
      </x:c>
      <x:c r="B254" s="23" t="str">
        <x:v>18 存档、迁移、导入导出与事务</x:v>
      </x:c>
      <x:c r="C254" s="23" t="str">
        <x:v>数据可靠性</x:v>
      </x:c>
      <x:c r="D254" s="23" t="str">
        <x:v>本地存档</x:v>
      </x:c>
      <x:c r="E254" s="21" t="str">
        <x:v>存储配额不足有真实提示</x:v>
      </x:c>
      <x:c r="F254" s="21" t="str">
        <x:v>不显示假保存成功；提供导出、清理或重试路径</x:v>
      </x:c>
      <x:c r="G254" s="21" t="str">
        <x:v>模拟 quota exceeded</x:v>
      </x:c>
      <x:c r="H254" s="21" t="str">
        <x:v>理解/操作</x:v>
      </x:c>
      <x:c r="I254" s="21" t="str">
        <x:v>全流程</x:v>
      </x:c>
      <x:c r="J254" s="21" t="str">
        <x:v>全平台</x:v>
      </x:c>
      <x:c r="K254" s="21" t="str"/>
      <x:c r="L254" s="29" t="str">
        <x:v>未检查</x:v>
      </x:c>
      <x:c r="M254" s="29" t="str">
        <x:v>未确认</x:v>
      </x:c>
      <x:c r="N254" s="29" t="str">
        <x:v>未确认</x:v>
      </x:c>
      <x:c r="O254" s="29" t="str"/>
      <x:c r="P254" s="29" t="str">
        <x:f>IF(OR(L254="未检查",L254="通过",L254="不适用"),"",IFERROR(VLOOKUP(M254,'口径与下拉'!$A$9:$B$14,2,FALSE),0)+IFERROR(VLOOKUP(N254,'口径与下拉'!$D$9:$E$14,2,FALSE),0)+O254)</x:f>
      </x:c>
      <x:c r="Q254" s="29" t="str"/>
      <x:c r="R254" s="29" t="str">
        <x:f>IF(P254="","",IF(P254&gt;=13,"P0",IF(P254&gt;=10,"P1",IF(P254&gt;=7,"P2","P3"))))</x:f>
      </x:c>
      <x:c r="S254" s="21" t="str"/>
      <x:c r="T254" s="21" t="str"/>
      <x:c r="U254" s="21" t="str"/>
      <x:c r="V254" s="31" t="str"/>
      <x:c r="W254" s="21" t="str"/>
      <x:c r="X254" s="21" t="str">
        <x:v>未复测</x:v>
      </x:c>
      <x:c r="Y254" s="21" t="str"/>
    </x:row>
    <x:row r="255" ht="52" customHeight="1">
      <x:c r="A255" s="27" t="str">
        <x:v>UX-251</x:v>
      </x:c>
      <x:c r="B255" s="23" t="str">
        <x:v>18 存档、迁移、导入导出与事务</x:v>
      </x:c>
      <x:c r="C255" s="23" t="str">
        <x:v>数据可靠性</x:v>
      </x:c>
      <x:c r="D255" s="23" t="str">
        <x:v>本地存档</x:v>
      </x:c>
      <x:c r="E255" s="21" t="str">
        <x:v>重置存档范围明确</x:v>
      </x:c>
      <x:c r="F255" s="21" t="str">
        <x:v>与设置、统计 ID、音量偏好的保留/清除规则一致</x:v>
      </x:c>
      <x:c r="G255" s="21" t="str">
        <x:v>重置前后对照</x:v>
      </x:c>
      <x:c r="H255" s="21" t="str">
        <x:v>理解/操作</x:v>
      </x:c>
      <x:c r="I255" s="21" t="str">
        <x:v>全流程</x:v>
      </x:c>
      <x:c r="J255" s="21" t="str">
        <x:v>全平台</x:v>
      </x:c>
      <x:c r="K255" s="21" t="str"/>
      <x:c r="L255" s="29" t="str">
        <x:v>未检查</x:v>
      </x:c>
      <x:c r="M255" s="29" t="str">
        <x:v>未确认</x:v>
      </x:c>
      <x:c r="N255" s="29" t="str">
        <x:v>未确认</x:v>
      </x:c>
      <x:c r="O255" s="29" t="str"/>
      <x:c r="P255" s="29" t="str">
        <x:f>IF(OR(L255="未检查",L255="通过",L255="不适用"),"",IFERROR(VLOOKUP(M255,'口径与下拉'!$A$9:$B$14,2,FALSE),0)+IFERROR(VLOOKUP(N255,'口径与下拉'!$D$9:$E$14,2,FALSE),0)+O255)</x:f>
      </x:c>
      <x:c r="Q255" s="29" t="str"/>
      <x:c r="R255" s="29" t="str">
        <x:f>IF(P255="","",IF(P255&gt;=13,"P0",IF(P255&gt;=10,"P1",IF(P255&gt;=7,"P2","P3"))))</x:f>
      </x:c>
      <x:c r="S255" s="21" t="str"/>
      <x:c r="T255" s="21" t="str"/>
      <x:c r="U255" s="21" t="str"/>
      <x:c r="V255" s="31" t="str"/>
      <x:c r="W255" s="21" t="str"/>
      <x:c r="X255" s="21" t="str">
        <x:v>未复测</x:v>
      </x:c>
      <x:c r="Y255" s="21" t="str"/>
    </x:row>
    <x:row r="256" ht="52" customHeight="1">
      <x:c r="A256" s="27" t="str">
        <x:v>UX-252</x:v>
      </x:c>
      <x:c r="B256" s="23" t="str">
        <x:v>18 存档、迁移、导入导出与事务</x:v>
      </x:c>
      <x:c r="C256" s="23" t="str">
        <x:v>数据可靠性</x:v>
      </x:c>
      <x:c r="D256" s="23" t="str">
        <x:v>本地存档</x:v>
      </x:c>
      <x:c r="E256" s="21" t="str">
        <x:v>重载后状态精确恢复</x:v>
      </x:c>
      <x:c r="F256" s="21" t="str">
        <x:v>页面、资源、目标、棋盘、待领取和事务结果无漂移</x:v>
      </x:c>
      <x:c r="G256" s="21" t="str">
        <x:v>随机节点刷新 50 次</x:v>
      </x:c>
      <x:c r="H256" s="21" t="str">
        <x:v>理解/操作</x:v>
      </x:c>
      <x:c r="I256" s="21" t="str">
        <x:v>全流程</x:v>
      </x:c>
      <x:c r="J256" s="21" t="str">
        <x:v>全平台</x:v>
      </x:c>
      <x:c r="K256" s="21" t="str"/>
      <x:c r="L256" s="29" t="str">
        <x:v>未检查</x:v>
      </x:c>
      <x:c r="M256" s="29" t="str">
        <x:v>未确认</x:v>
      </x:c>
      <x:c r="N256" s="29" t="str">
        <x:v>未确认</x:v>
      </x:c>
      <x:c r="O256" s="29" t="str"/>
      <x:c r="P256" s="29" t="str">
        <x:f>IF(OR(L256="未检查",L256="通过",L256="不适用"),"",IFERROR(VLOOKUP(M256,'口径与下拉'!$A$9:$B$14,2,FALSE),0)+IFERROR(VLOOKUP(N256,'口径与下拉'!$D$9:$E$14,2,FALSE),0)+O256)</x:f>
      </x:c>
      <x:c r="Q256" s="29" t="str"/>
      <x:c r="R256" s="29" t="str">
        <x:f>IF(P256="","",IF(P256&gt;=13,"P0",IF(P256&gt;=10,"P1",IF(P256&gt;=7,"P2","P3"))))</x:f>
      </x:c>
      <x:c r="S256" s="21" t="str"/>
      <x:c r="T256" s="21" t="str"/>
      <x:c r="U256" s="21" t="str"/>
      <x:c r="V256" s="31" t="str"/>
      <x:c r="W256" s="21" t="str"/>
      <x:c r="X256" s="21" t="str">
        <x:v>未复测</x:v>
      </x:c>
      <x:c r="Y256" s="21" t="str"/>
    </x:row>
    <x:row r="257" ht="52" customHeight="1">
      <x:c r="A257" s="27" t="str">
        <x:v>UX-253</x:v>
      </x:c>
      <x:c r="B257" s="23" t="str">
        <x:v>19 弱网、错误与恢复</x:v>
      </x:c>
      <x:c r="C257" s="23" t="str">
        <x:v>异常路径</x:v>
      </x:c>
      <x:c r="D257" s="23" t="str">
        <x:v>加载/网络/资源</x:v>
      </x:c>
      <x:c r="E257" s="21" t="str">
        <x:v>小游戏弱网显示真实进度</x:v>
      </x:c>
      <x:c r="F257" s="21" t="str">
        <x:v>不是静止遮罩；可取消/重试且不会重复初始化</x:v>
      </x:c>
      <x:c r="G257" s="21" t="str">
        <x:v>限速与断网切换</x:v>
      </x:c>
      <x:c r="H257" s="21" t="str">
        <x:v>理解/操作</x:v>
      </x:c>
      <x:c r="I257" s="21" t="str">
        <x:v>全流程</x:v>
      </x:c>
      <x:c r="J257" s="21" t="str">
        <x:v>全平台</x:v>
      </x:c>
      <x:c r="K257" s="21" t="str"/>
      <x:c r="L257" s="29" t="str">
        <x:v>未检查</x:v>
      </x:c>
      <x:c r="M257" s="29" t="str">
        <x:v>未确认</x:v>
      </x:c>
      <x:c r="N257" s="29" t="str">
        <x:v>未确认</x:v>
      </x:c>
      <x:c r="O257" s="29" t="str"/>
      <x:c r="P257" s="29" t="str">
        <x:f>IF(OR(L257="未检查",L257="通过",L257="不适用"),"",IFERROR(VLOOKUP(M257,'口径与下拉'!$A$9:$B$14,2,FALSE),0)+IFERROR(VLOOKUP(N257,'口径与下拉'!$D$9:$E$14,2,FALSE),0)+O257)</x:f>
      </x:c>
      <x:c r="Q257" s="29" t="str"/>
      <x:c r="R257" s="29" t="str">
        <x:f>IF(P257="","",IF(P257&gt;=13,"P0",IF(P257&gt;=10,"P1",IF(P257&gt;=7,"P2","P3"))))</x:f>
      </x:c>
      <x:c r="S257" s="21" t="str"/>
      <x:c r="T257" s="21" t="str"/>
      <x:c r="U257" s="21" t="str"/>
      <x:c r="V257" s="31" t="str"/>
      <x:c r="W257" s="21" t="str"/>
      <x:c r="X257" s="21" t="str">
        <x:v>未复测</x:v>
      </x:c>
      <x:c r="Y257" s="21" t="str"/>
    </x:row>
    <x:row r="258" ht="52" customHeight="1">
      <x:c r="A258" s="27" t="str">
        <x:v>UX-254</x:v>
      </x:c>
      <x:c r="B258" s="23" t="str">
        <x:v>19 弱网、错误与恢复</x:v>
      </x:c>
      <x:c r="C258" s="23" t="str">
        <x:v>异常路径</x:v>
      </x:c>
      <x:c r="D258" s="23" t="str">
        <x:v>加载/网络/资源</x:v>
      </x:c>
      <x:c r="E258" s="21" t="str">
        <x:v>加载失败不扣资源</x:v>
      </x:c>
      <x:c r="F258" s="21" t="str">
        <x:v>灵力、局数、奖励和任务状态保持不变</x:v>
      </x:c>
      <x:c r="G258" s="21" t="str">
        <x:v>请求失败注入</x:v>
      </x:c>
      <x:c r="H258" s="21" t="str">
        <x:v>数据/信任</x:v>
      </x:c>
      <x:c r="I258" s="21" t="str">
        <x:v>全流程</x:v>
      </x:c>
      <x:c r="J258" s="21" t="str">
        <x:v>全平台</x:v>
      </x:c>
      <x:c r="K258" s="21" t="str"/>
      <x:c r="L258" s="29" t="str">
        <x:v>未检查</x:v>
      </x:c>
      <x:c r="M258" s="29" t="str">
        <x:v>未确认</x:v>
      </x:c>
      <x:c r="N258" s="29" t="str">
        <x:v>未确认</x:v>
      </x:c>
      <x:c r="O258" s="29" t="str"/>
      <x:c r="P258" s="29" t="str">
        <x:f>IF(OR(L258="未检查",L258="通过",L258="不适用"),"",IFERROR(VLOOKUP(M258,'口径与下拉'!$A$9:$B$14,2,FALSE),0)+IFERROR(VLOOKUP(N258,'口径与下拉'!$D$9:$E$14,2,FALSE),0)+O258)</x:f>
      </x:c>
      <x:c r="Q258" s="29" t="str"/>
      <x:c r="R258" s="29" t="str">
        <x:f>IF(P258="","",IF(P258&gt;=13,"P0",IF(P258&gt;=10,"P1",IF(P258&gt;=7,"P2","P3"))))</x:f>
      </x:c>
      <x:c r="S258" s="21" t="str"/>
      <x:c r="T258" s="21" t="str"/>
      <x:c r="U258" s="21" t="str"/>
      <x:c r="V258" s="31" t="str"/>
      <x:c r="W258" s="21" t="str"/>
      <x:c r="X258" s="21" t="str">
        <x:v>未复测</x:v>
      </x:c>
      <x:c r="Y258" s="21" t="str"/>
    </x:row>
    <x:row r="259" ht="52" customHeight="1">
      <x:c r="A259" s="27" t="str">
        <x:v>UX-255</x:v>
      </x:c>
      <x:c r="B259" s="23" t="str">
        <x:v>19 弱网、错误与恢复</x:v>
      </x:c>
      <x:c r="C259" s="23" t="str">
        <x:v>异常路径</x:v>
      </x:c>
      <x:c r="D259" s="23" t="str">
        <x:v>加载/网络/资源</x:v>
      </x:c>
      <x:c r="E259" s="21" t="str">
        <x:v>核心静态资源 404 有可理解降级</x:v>
      </x:c>
      <x:c r="F259" s="21" t="str">
        <x:v>不白屏；关键按钮、文字与返回仍可用</x:v>
      </x:c>
      <x:c r="G259" s="21" t="str">
        <x:v>逐类阻断图片/字体/音频</x:v>
      </x:c>
      <x:c r="H259" s="21" t="str">
        <x:v>理解/操作</x:v>
      </x:c>
      <x:c r="I259" s="21" t="str">
        <x:v>全流程</x:v>
      </x:c>
      <x:c r="J259" s="21" t="str">
        <x:v>全平台</x:v>
      </x:c>
      <x:c r="K259" s="21" t="str"/>
      <x:c r="L259" s="29" t="str">
        <x:v>未检查</x:v>
      </x:c>
      <x:c r="M259" s="29" t="str">
        <x:v>未确认</x:v>
      </x:c>
      <x:c r="N259" s="29" t="str">
        <x:v>未确认</x:v>
      </x:c>
      <x:c r="O259" s="29" t="str"/>
      <x:c r="P259" s="29" t="str">
        <x:f>IF(OR(L259="未检查",L259="通过",L259="不适用"),"",IFERROR(VLOOKUP(M259,'口径与下拉'!$A$9:$B$14,2,FALSE),0)+IFERROR(VLOOKUP(N259,'口径与下拉'!$D$9:$E$14,2,FALSE),0)+O259)</x:f>
      </x:c>
      <x:c r="Q259" s="29" t="str"/>
      <x:c r="R259" s="29" t="str">
        <x:f>IF(P259="","",IF(P259&gt;=13,"P0",IF(P259&gt;=10,"P1",IF(P259&gt;=7,"P2","P3"))))</x:f>
      </x:c>
      <x:c r="S259" s="21" t="str"/>
      <x:c r="T259" s="21" t="str"/>
      <x:c r="U259" s="21" t="str"/>
      <x:c r="V259" s="31" t="str"/>
      <x:c r="W259" s="21" t="str"/>
      <x:c r="X259" s="21" t="str">
        <x:v>未复测</x:v>
      </x:c>
      <x:c r="Y259" s="21" t="str"/>
    </x:row>
    <x:row r="260" ht="52" customHeight="1">
      <x:c r="A260" s="27" t="str">
        <x:v>UX-256</x:v>
      </x:c>
      <x:c r="B260" s="23" t="str">
        <x:v>19 弱网、错误与恢复</x:v>
      </x:c>
      <x:c r="C260" s="23" t="str">
        <x:v>异常路径</x:v>
      </x:c>
      <x:c r="D260" s="23" t="str">
        <x:v>加载/网络/资源</x:v>
      </x:c>
      <x:c r="E260" s="21" t="str">
        <x:v>断网可进行本地玩法</x:v>
      </x:c>
      <x:c r="F260" s="21" t="str">
        <x:v>本地存档、合并和照料按产品规则可用；联网功能明确标识</x:v>
      </x:c>
      <x:c r="G260" s="21" t="str">
        <x:v>飞行模式会话</x:v>
      </x:c>
      <x:c r="H260" s="21" t="str">
        <x:v>理解/操作</x:v>
      </x:c>
      <x:c r="I260" s="21" t="str">
        <x:v>全流程</x:v>
      </x:c>
      <x:c r="J260" s="21" t="str">
        <x:v>全平台</x:v>
      </x:c>
      <x:c r="K260" s="21" t="str"/>
      <x:c r="L260" s="29" t="str">
        <x:v>未检查</x:v>
      </x:c>
      <x:c r="M260" s="29" t="str">
        <x:v>未确认</x:v>
      </x:c>
      <x:c r="N260" s="29" t="str">
        <x:v>未确认</x:v>
      </x:c>
      <x:c r="O260" s="29" t="str"/>
      <x:c r="P260" s="29" t="str">
        <x:f>IF(OR(L260="未检查",L260="通过",L260="不适用"),"",IFERROR(VLOOKUP(M260,'口径与下拉'!$A$9:$B$14,2,FALSE),0)+IFERROR(VLOOKUP(N260,'口径与下拉'!$D$9:$E$14,2,FALSE),0)+O260)</x:f>
      </x:c>
      <x:c r="Q260" s="29" t="str"/>
      <x:c r="R260" s="29" t="str">
        <x:f>IF(P260="","",IF(P260&gt;=13,"P0",IF(P260&gt;=10,"P1",IF(P260&gt;=7,"P2","P3"))))</x:f>
      </x:c>
      <x:c r="S260" s="21" t="str"/>
      <x:c r="T260" s="21" t="str"/>
      <x:c r="U260" s="21" t="str"/>
      <x:c r="V260" s="31" t="str"/>
      <x:c r="W260" s="21" t="str"/>
      <x:c r="X260" s="21" t="str">
        <x:v>未复测</x:v>
      </x:c>
      <x:c r="Y260" s="21" t="str"/>
    </x:row>
    <x:row r="261" ht="52" customHeight="1">
      <x:c r="A261" s="27" t="str">
        <x:v>UX-257</x:v>
      </x:c>
      <x:c r="B261" s="23" t="str">
        <x:v>19 弱网、错误与恢复</x:v>
      </x:c>
      <x:c r="C261" s="23" t="str">
        <x:v>异常路径</x:v>
      </x:c>
      <x:c r="D261" s="23" t="str">
        <x:v>加载/网络/资源</x:v>
      </x:c>
      <x:c r="E261" s="21" t="str">
        <x:v>恢复网络后不重复结算</x:v>
      </x:c>
      <x:c r="F261" s="21" t="str">
        <x:v>重试不会双发奖励、双扣成本或重复上报</x:v>
      </x:c>
      <x:c r="G261" s="21" t="str">
        <x:v>离线完成后恢复</x:v>
      </x:c>
      <x:c r="H261" s="21" t="str">
        <x:v>理解/操作</x:v>
      </x:c>
      <x:c r="I261" s="21" t="str">
        <x:v>全流程</x:v>
      </x:c>
      <x:c r="J261" s="21" t="str">
        <x:v>全平台</x:v>
      </x:c>
      <x:c r="K261" s="21" t="str"/>
      <x:c r="L261" s="29" t="str">
        <x:v>未检查</x:v>
      </x:c>
      <x:c r="M261" s="29" t="str">
        <x:v>未确认</x:v>
      </x:c>
      <x:c r="N261" s="29" t="str">
        <x:v>未确认</x:v>
      </x:c>
      <x:c r="O261" s="29" t="str"/>
      <x:c r="P261" s="29" t="str">
        <x:f>IF(OR(L261="未检查",L261="通过",L261="不适用"),"",IFERROR(VLOOKUP(M261,'口径与下拉'!$A$9:$B$14,2,FALSE),0)+IFERROR(VLOOKUP(N261,'口径与下拉'!$D$9:$E$14,2,FALSE),0)+O261)</x:f>
      </x:c>
      <x:c r="Q261" s="29" t="str"/>
      <x:c r="R261" s="29" t="str">
        <x:f>IF(P261="","",IF(P261&gt;=13,"P0",IF(P261&gt;=10,"P1",IF(P261&gt;=7,"P2","P3"))))</x:f>
      </x:c>
      <x:c r="S261" s="21" t="str"/>
      <x:c r="T261" s="21" t="str"/>
      <x:c r="U261" s="21" t="str"/>
      <x:c r="V261" s="31" t="str"/>
      <x:c r="W261" s="21" t="str"/>
      <x:c r="X261" s="21" t="str">
        <x:v>未复测</x:v>
      </x:c>
      <x:c r="Y261" s="21" t="str"/>
    </x:row>
    <x:row r="262" ht="52" customHeight="1">
      <x:c r="A262" s="27" t="str">
        <x:v>UX-258</x:v>
      </x:c>
      <x:c r="B262" s="23" t="str">
        <x:v>19 弱网、错误与恢复</x:v>
      </x:c>
      <x:c r="C262" s="23" t="str">
        <x:v>异常路径</x:v>
      </x:c>
      <x:c r="D262" s="23" t="str">
        <x:v>加载/网络/资源</x:v>
      </x:c>
      <x:c r="E262" s="21" t="str">
        <x:v>音频自动播放失败可重试</x:v>
      </x:c>
      <x:c r="F262" s="21" t="str">
        <x:v>等待下一次用户手势重新解锁，失败 Promise 不污染缓存</x:v>
      </x:c>
      <x:c r="G262" s="21" t="str">
        <x:v>浏览器阻止自动播放</x:v>
      </x:c>
      <x:c r="H262" s="21" t="str">
        <x:v>理解/操作</x:v>
      </x:c>
      <x:c r="I262" s="21" t="str">
        <x:v>全流程</x:v>
      </x:c>
      <x:c r="J262" s="21" t="str">
        <x:v>全平台</x:v>
      </x:c>
      <x:c r="K262" s="21" t="str"/>
      <x:c r="L262" s="29" t="str">
        <x:v>未检查</x:v>
      </x:c>
      <x:c r="M262" s="29" t="str">
        <x:v>未确认</x:v>
      </x:c>
      <x:c r="N262" s="29" t="str">
        <x:v>未确认</x:v>
      </x:c>
      <x:c r="O262" s="29" t="str"/>
      <x:c r="P262" s="29" t="str">
        <x:f>IF(OR(L262="未检查",L262="通过",L262="不适用"),"",IFERROR(VLOOKUP(M262,'口径与下拉'!$A$9:$B$14,2,FALSE),0)+IFERROR(VLOOKUP(N262,'口径与下拉'!$D$9:$E$14,2,FALSE),0)+O262)</x:f>
      </x:c>
      <x:c r="Q262" s="29" t="str"/>
      <x:c r="R262" s="29" t="str">
        <x:f>IF(P262="","",IF(P262&gt;=13,"P0",IF(P262&gt;=10,"P1",IF(P262&gt;=7,"P2","P3"))))</x:f>
      </x:c>
      <x:c r="S262" s="21" t="str"/>
      <x:c r="T262" s="21" t="str"/>
      <x:c r="U262" s="21" t="str"/>
      <x:c r="V262" s="31" t="str"/>
      <x:c r="W262" s="21" t="str"/>
      <x:c r="X262" s="21" t="str">
        <x:v>未复测</x:v>
      </x:c>
      <x:c r="Y262" s="21" t="str"/>
    </x:row>
    <x:row r="263" ht="52" customHeight="1">
      <x:c r="A263" s="27" t="str">
        <x:v>UX-259</x:v>
      </x:c>
      <x:c r="B263" s="23" t="str">
        <x:v>19 弱网、错误与恢复</x:v>
      </x:c>
      <x:c r="C263" s="23" t="str">
        <x:v>异常路径</x:v>
      </x:c>
      <x:c r="D263" s="23" t="str">
        <x:v>加载/网络/资源</x:v>
      </x:c>
      <x:c r="E263" s="21" t="str">
        <x:v>视频失败有文本/静态替代</x:v>
      </x:c>
      <x:c r="F263" s="21" t="str">
        <x:v>关键叙事和下一步不依赖视频成功</x:v>
      </x:c>
      <x:c r="G263" s="21" t="str">
        <x:v>阻断视频资源</x:v>
      </x:c>
      <x:c r="H263" s="21" t="str">
        <x:v>理解/操作</x:v>
      </x:c>
      <x:c r="I263" s="21" t="str">
        <x:v>全流程</x:v>
      </x:c>
      <x:c r="J263" s="21" t="str">
        <x:v>全平台</x:v>
      </x:c>
      <x:c r="K263" s="21" t="str"/>
      <x:c r="L263" s="29" t="str">
        <x:v>未检查</x:v>
      </x:c>
      <x:c r="M263" s="29" t="str">
        <x:v>未确认</x:v>
      </x:c>
      <x:c r="N263" s="29" t="str">
        <x:v>未确认</x:v>
      </x:c>
      <x:c r="O263" s="29" t="str"/>
      <x:c r="P263" s="29" t="str">
        <x:f>IF(OR(L263="未检查",L263="通过",L263="不适用"),"",IFERROR(VLOOKUP(M263,'口径与下拉'!$A$9:$B$14,2,FALSE),0)+IFERROR(VLOOKUP(N263,'口径与下拉'!$D$9:$E$14,2,FALSE),0)+O263)</x:f>
      </x:c>
      <x:c r="Q263" s="29" t="str"/>
      <x:c r="R263" s="29" t="str">
        <x:f>IF(P263="","",IF(P263&gt;=13,"P0",IF(P263&gt;=10,"P1",IF(P263&gt;=7,"P2","P3"))))</x:f>
      </x:c>
      <x:c r="S263" s="21" t="str"/>
      <x:c r="T263" s="21" t="str"/>
      <x:c r="U263" s="21" t="str"/>
      <x:c r="V263" s="31" t="str"/>
      <x:c r="W263" s="21" t="str"/>
      <x:c r="X263" s="21" t="str">
        <x:v>未复测</x:v>
      </x:c>
      <x:c r="Y263" s="21" t="str"/>
    </x:row>
    <x:row r="264" ht="52" customHeight="1">
      <x:c r="A264" s="27" t="str">
        <x:v>UX-260</x:v>
      </x:c>
      <x:c r="B264" s="23" t="str">
        <x:v>19 弱网、错误与恢复</x:v>
      </x:c>
      <x:c r="C264" s="23" t="str">
        <x:v>异常路径</x:v>
      </x:c>
      <x:c r="D264" s="23" t="str">
        <x:v>加载/网络/资源</x:v>
      </x:c>
      <x:c r="E264" s="21" t="str">
        <x:v>错误提示不泄露技术细节</x:v>
      </x:c>
      <x:c r="F264" s="21" t="str">
        <x:v>不展示堆栈、路径、令牌、Cookie 或内部 ID</x:v>
      </x:c>
      <x:c r="G264" s="21" t="str">
        <x:v>全错误态巡检</x:v>
      </x:c>
      <x:c r="H264" s="21" t="str">
        <x:v>隐私/信任</x:v>
      </x:c>
      <x:c r="I264" s="21" t="str">
        <x:v>全流程</x:v>
      </x:c>
      <x:c r="J264" s="21" t="str">
        <x:v>全平台</x:v>
      </x:c>
      <x:c r="K264" s="21" t="str"/>
      <x:c r="L264" s="29" t="str">
        <x:v>未检查</x:v>
      </x:c>
      <x:c r="M264" s="29" t="str">
        <x:v>未确认</x:v>
      </x:c>
      <x:c r="N264" s="29" t="str">
        <x:v>未确认</x:v>
      </x:c>
      <x:c r="O264" s="29" t="str"/>
      <x:c r="P264" s="29" t="str">
        <x:f>IF(OR(L264="未检查",L264="通过",L264="不适用"),"",IFERROR(VLOOKUP(M264,'口径与下拉'!$A$9:$B$14,2,FALSE),0)+IFERROR(VLOOKUP(N264,'口径与下拉'!$D$9:$E$14,2,FALSE),0)+O264)</x:f>
      </x:c>
      <x:c r="Q264" s="29" t="str"/>
      <x:c r="R264" s="29" t="str">
        <x:f>IF(P264="","",IF(P264&gt;=13,"P0",IF(P264&gt;=10,"P1",IF(P264&gt;=7,"P2","P3"))))</x:f>
      </x:c>
      <x:c r="S264" s="21" t="str"/>
      <x:c r="T264" s="21" t="str"/>
      <x:c r="U264" s="21" t="str"/>
      <x:c r="V264" s="31" t="str"/>
      <x:c r="W264" s="21" t="str"/>
      <x:c r="X264" s="21" t="str">
        <x:v>未复测</x:v>
      </x:c>
      <x:c r="Y264" s="21" t="str"/>
    </x:row>
    <x:row r="265" ht="52" customHeight="1">
      <x:c r="A265" s="27" t="str">
        <x:v>UX-261</x:v>
      </x:c>
      <x:c r="B265" s="23" t="str">
        <x:v>19 弱网、错误与恢复</x:v>
      </x:c>
      <x:c r="C265" s="23" t="str">
        <x:v>异常路径</x:v>
      </x:c>
      <x:c r="D265" s="23" t="str">
        <x:v>加载/网络/资源</x:v>
      </x:c>
      <x:c r="E265" s="21" t="str">
        <x:v>无无限加载与重试风暴</x:v>
      </x:c>
      <x:c r="F265" s="21" t="str">
        <x:v>有超时、退避、最大重试或人工重试，网络请求可控</x:v>
      </x:c>
      <x:c r="G265" s="21" t="str">
        <x:v>持续断网 5 分钟</x:v>
      </x:c>
      <x:c r="H265" s="21" t="str">
        <x:v>理解/操作</x:v>
      </x:c>
      <x:c r="I265" s="21" t="str">
        <x:v>全流程</x:v>
      </x:c>
      <x:c r="J265" s="21" t="str">
        <x:v>全平台</x:v>
      </x:c>
      <x:c r="K265" s="21" t="str"/>
      <x:c r="L265" s="29" t="str">
        <x:v>未检查</x:v>
      </x:c>
      <x:c r="M265" s="29" t="str">
        <x:v>未确认</x:v>
      </x:c>
      <x:c r="N265" s="29" t="str">
        <x:v>未确认</x:v>
      </x:c>
      <x:c r="O265" s="29" t="str"/>
      <x:c r="P265" s="29" t="str">
        <x:f>IF(OR(L265="未检查",L265="通过",L265="不适用"),"",IFERROR(VLOOKUP(M265,'口径与下拉'!$A$9:$B$14,2,FALSE),0)+IFERROR(VLOOKUP(N265,'口径与下拉'!$D$9:$E$14,2,FALSE),0)+O265)</x:f>
      </x:c>
      <x:c r="Q265" s="29" t="str"/>
      <x:c r="R265" s="29" t="str">
        <x:f>IF(P265="","",IF(P265&gt;=13,"P0",IF(P265&gt;=10,"P1",IF(P265&gt;=7,"P2","P3"))))</x:f>
      </x:c>
      <x:c r="S265" s="21" t="str"/>
      <x:c r="T265" s="21" t="str"/>
      <x:c r="U265" s="21" t="str"/>
      <x:c r="V265" s="31" t="str"/>
      <x:c r="W265" s="21" t="str"/>
      <x:c r="X265" s="21" t="str">
        <x:v>未复测</x:v>
      </x:c>
      <x:c r="Y265" s="21" t="str"/>
    </x:row>
    <x:row r="266" ht="52" customHeight="1">
      <x:c r="A266" s="27" t="str">
        <x:v>UX-262</x:v>
      </x:c>
      <x:c r="B266" s="23" t="str">
        <x:v>19 弱网、错误与恢复</x:v>
      </x:c>
      <x:c r="C266" s="23" t="str">
        <x:v>异常路径</x:v>
      </x:c>
      <x:c r="D266" s="23" t="str">
        <x:v>加载/网络/资源</x:v>
      </x:c>
      <x:c r="E266" s="21" t="str">
        <x:v>异常后可回到安全页</x:v>
      </x:c>
      <x:c r="F266" s="21" t="str">
        <x:v>关闭错误或重试失败后仍能返回庭院/设置/导出存档</x:v>
      </x:c>
      <x:c r="G266" s="21" t="str">
        <x:v>所有故障入口验证</x:v>
      </x:c>
      <x:c r="H266" s="21" t="str">
        <x:v>理解/操作</x:v>
      </x:c>
      <x:c r="I266" s="21" t="str">
        <x:v>全流程</x:v>
      </x:c>
      <x:c r="J266" s="21" t="str">
        <x:v>全平台</x:v>
      </x:c>
      <x:c r="K266" s="21" t="str"/>
      <x:c r="L266" s="29" t="str">
        <x:v>未检查</x:v>
      </x:c>
      <x:c r="M266" s="29" t="str">
        <x:v>未确认</x:v>
      </x:c>
      <x:c r="N266" s="29" t="str">
        <x:v>未确认</x:v>
      </x:c>
      <x:c r="O266" s="29" t="str"/>
      <x:c r="P266" s="29" t="str">
        <x:f>IF(OR(L266="未检查",L266="通过",L266="不适用"),"",IFERROR(VLOOKUP(M266,'口径与下拉'!$A$9:$B$14,2,FALSE),0)+IFERROR(VLOOKUP(N266,'口径与下拉'!$D$9:$E$14,2,FALSE),0)+O266)</x:f>
      </x:c>
      <x:c r="Q266" s="29" t="str"/>
      <x:c r="R266" s="29" t="str">
        <x:f>IF(P266="","",IF(P266&gt;=13,"P0",IF(P266&gt;=10,"P1",IF(P266&gt;=7,"P2","P3"))))</x:f>
      </x:c>
      <x:c r="S266" s="21" t="str"/>
      <x:c r="T266" s="21" t="str"/>
      <x:c r="U266" s="21" t="str"/>
      <x:c r="V266" s="31" t="str"/>
      <x:c r="W266" s="21" t="str"/>
      <x:c r="X266" s="21" t="str">
        <x:v>未复测</x:v>
      </x:c>
      <x:c r="Y266" s="21" t="str"/>
    </x:row>
    <x:row r="267" ht="52" customHeight="1">
      <x:c r="A267" s="27" t="str">
        <x:v>UX-263</x:v>
      </x:c>
      <x:c r="B267" s="23" t="str">
        <x:v>20 性能、加载与稳定性</x:v>
      </x:c>
      <x:c r="C267" s="23" t="str">
        <x:v>运行质量</x:v>
      </x:c>
      <x:c r="D267" s="23" t="str">
        <x:v>正式入口与 dist</x:v>
      </x:c>
      <x:c r="E267" s="21" t="str">
        <x:v>首次可交互时间满足预算</x:v>
      </x:c>
      <x:c r="F267" s="21" t="str">
        <x:v>按目标设备和网络记录冷启动可交互时间，无长主线程阻塞</x:v>
      </x:c>
      <x:c r="G267" s="21" t="str">
        <x:v>Performance 录制 + 5 次中位数</x:v>
      </x:c>
      <x:c r="H267" s="21" t="str">
        <x:v>等待/留存</x:v>
      </x:c>
      <x:c r="I267" s="21" t="str">
        <x:v>全流程</x:v>
      </x:c>
      <x:c r="J267" s="21" t="str">
        <x:v>全平台</x:v>
      </x:c>
      <x:c r="K267" s="21" t="str"/>
      <x:c r="L267" s="29" t="str">
        <x:v>未检查</x:v>
      </x:c>
      <x:c r="M267" s="29" t="str">
        <x:v>未确认</x:v>
      </x:c>
      <x:c r="N267" s="29" t="str">
        <x:v>未确认</x:v>
      </x:c>
      <x:c r="O267" s="29" t="str"/>
      <x:c r="P267" s="29" t="str">
        <x:f>IF(OR(L267="未检查",L267="通过",L267="不适用"),"",IFERROR(VLOOKUP(M267,'口径与下拉'!$A$9:$B$14,2,FALSE),0)+IFERROR(VLOOKUP(N267,'口径与下拉'!$D$9:$E$14,2,FALSE),0)+O267)</x:f>
      </x:c>
      <x:c r="Q267" s="29" t="str"/>
      <x:c r="R267" s="29" t="str">
        <x:f>IF(P267="","",IF(P267&gt;=13,"P0",IF(P267&gt;=10,"P1",IF(P267&gt;=7,"P2","P3"))))</x:f>
      </x:c>
      <x:c r="S267" s="21" t="str"/>
      <x:c r="T267" s="21" t="str"/>
      <x:c r="U267" s="21" t="str"/>
      <x:c r="V267" s="31" t="str"/>
      <x:c r="W267" s="21" t="str"/>
      <x:c r="X267" s="21" t="str">
        <x:v>未复测</x:v>
      </x:c>
      <x:c r="Y267" s="21" t="str"/>
    </x:row>
    <x:row r="268" ht="52" customHeight="1">
      <x:c r="A268" s="27" t="str">
        <x:v>UX-264</x:v>
      </x:c>
      <x:c r="B268" s="23" t="str">
        <x:v>20 性能、加载与稳定性</x:v>
      </x:c>
      <x:c r="C268" s="23" t="str">
        <x:v>运行质量</x:v>
      </x:c>
      <x:c r="D268" s="23" t="str">
        <x:v>正式入口与 dist</x:v>
      </x:c>
      <x:c r="E268" s="21" t="str">
        <x:v>重返页面速度明显快于冷启</x:v>
      </x:c>
      <x:c r="F268" s="21" t="str">
        <x:v>缓存命中且不展示过期/错误画面</x:v>
      </x:c>
      <x:c r="G268" s="21" t="str">
        <x:v>冷启/热启对比</x:v>
      </x:c>
      <x:c r="H268" s="21" t="str">
        <x:v>理解/操作</x:v>
      </x:c>
      <x:c r="I268" s="21" t="str">
        <x:v>全流程</x:v>
      </x:c>
      <x:c r="J268" s="21" t="str">
        <x:v>全平台</x:v>
      </x:c>
      <x:c r="K268" s="21" t="str"/>
      <x:c r="L268" s="29" t="str">
        <x:v>未检查</x:v>
      </x:c>
      <x:c r="M268" s="29" t="str">
        <x:v>未确认</x:v>
      </x:c>
      <x:c r="N268" s="29" t="str">
        <x:v>未确认</x:v>
      </x:c>
      <x:c r="O268" s="29" t="str"/>
      <x:c r="P268" s="29" t="str">
        <x:f>IF(OR(L268="未检查",L268="通过",L268="不适用"),"",IFERROR(VLOOKUP(M268,'口径与下拉'!$A$9:$B$14,2,FALSE),0)+IFERROR(VLOOKUP(N268,'口径与下拉'!$D$9:$E$14,2,FALSE),0)+O268)</x:f>
      </x:c>
      <x:c r="Q268" s="29" t="str"/>
      <x:c r="R268" s="29" t="str">
        <x:f>IF(P268="","",IF(P268&gt;=13,"P0",IF(P268&gt;=10,"P1",IF(P268&gt;=7,"P2","P3"))))</x:f>
      </x:c>
      <x:c r="S268" s="21" t="str"/>
      <x:c r="T268" s="21" t="str"/>
      <x:c r="U268" s="21" t="str"/>
      <x:c r="V268" s="31" t="str"/>
      <x:c r="W268" s="21" t="str"/>
      <x:c r="X268" s="21" t="str">
        <x:v>未复测</x:v>
      </x:c>
      <x:c r="Y268" s="21" t="str"/>
    </x:row>
    <x:row r="269" ht="52" customHeight="1">
      <x:c r="A269" s="27" t="str">
        <x:v>UX-265</x:v>
      </x:c>
      <x:c r="B269" s="23" t="str">
        <x:v>20 性能、加载与稳定性</x:v>
      </x:c>
      <x:c r="C269" s="23" t="str">
        <x:v>运行质量</x:v>
      </x:c>
      <x:c r="D269" s="23" t="str">
        <x:v>正式入口与 dist</x:v>
      </x:c>
      <x:c r="E269" s="21" t="str">
        <x:v>首屏只加载必要资源</x:v>
      </x:c>
      <x:c r="F269" s="21" t="str">
        <x:v>小游戏、图鉴大图、后续卷章按需加载</x:v>
      </x:c>
      <x:c r="G269" s="21" t="str">
        <x:v>网络瀑布审查</x:v>
      </x:c>
      <x:c r="H269" s="21" t="str">
        <x:v>性能/流量</x:v>
      </x:c>
      <x:c r="I269" s="21" t="str">
        <x:v>全流程</x:v>
      </x:c>
      <x:c r="J269" s="21" t="str">
        <x:v>全平台</x:v>
      </x:c>
      <x:c r="K269" s="21" t="str"/>
      <x:c r="L269" s="29" t="str">
        <x:v>未检查</x:v>
      </x:c>
      <x:c r="M269" s="29" t="str">
        <x:v>未确认</x:v>
      </x:c>
      <x:c r="N269" s="29" t="str">
        <x:v>未确认</x:v>
      </x:c>
      <x:c r="O269" s="29" t="str"/>
      <x:c r="P269" s="29" t="str">
        <x:f>IF(OR(L269="未检查",L269="通过",L269="不适用"),"",IFERROR(VLOOKUP(M269,'口径与下拉'!$A$9:$B$14,2,FALSE),0)+IFERROR(VLOOKUP(N269,'口径与下拉'!$D$9:$E$14,2,FALSE),0)+O269)</x:f>
      </x:c>
      <x:c r="Q269" s="29" t="str"/>
      <x:c r="R269" s="29" t="str">
        <x:f>IF(P269="","",IF(P269&gt;=13,"P0",IF(P269&gt;=10,"P1",IF(P269&gt;=7,"P2","P3"))))</x:f>
      </x:c>
      <x:c r="S269" s="21" t="str"/>
      <x:c r="T269" s="21" t="str"/>
      <x:c r="U269" s="21" t="str"/>
      <x:c r="V269" s="31" t="str"/>
      <x:c r="W269" s="21" t="str"/>
      <x:c r="X269" s="21" t="str">
        <x:v>未复测</x:v>
      </x:c>
      <x:c r="Y269" s="21" t="str"/>
    </x:row>
    <x:row r="270" ht="52" customHeight="1">
      <x:c r="A270" s="27" t="str">
        <x:v>UX-266</x:v>
      </x:c>
      <x:c r="B270" s="23" t="str">
        <x:v>20 性能、加载与稳定性</x:v>
      </x:c>
      <x:c r="C270" s="23" t="str">
        <x:v>运行质量</x:v>
      </x:c>
      <x:c r="D270" s="23" t="str">
        <x:v>正式入口与 dist</x:v>
      </x:c>
      <x:c r="E270" s="21" t="str">
        <x:v>图片与视频尺寸受控</x:v>
      </x:c>
      <x:c r="F270" s="21" t="str">
        <x:v>不下载远超显示需求的资源；压缩不损伤关键画面</x:v>
      </x:c>
      <x:c r="G270" s="21" t="str">
        <x:v>资源尺寸与解码内存分析</x:v>
      </x:c>
      <x:c r="H270" s="21" t="str">
        <x:v>理解/操作</x:v>
      </x:c>
      <x:c r="I270" s="21" t="str">
        <x:v>全流程</x:v>
      </x:c>
      <x:c r="J270" s="21" t="str">
        <x:v>全平台</x:v>
      </x:c>
      <x:c r="K270" s="21" t="str"/>
      <x:c r="L270" s="29" t="str">
        <x:v>未检查</x:v>
      </x:c>
      <x:c r="M270" s="29" t="str">
        <x:v>未确认</x:v>
      </x:c>
      <x:c r="N270" s="29" t="str">
        <x:v>未确认</x:v>
      </x:c>
      <x:c r="O270" s="29" t="str"/>
      <x:c r="P270" s="29" t="str">
        <x:f>IF(OR(L270="未检查",L270="通过",L270="不适用"),"",IFERROR(VLOOKUP(M270,'口径与下拉'!$A$9:$B$14,2,FALSE),0)+IFERROR(VLOOKUP(N270,'口径与下拉'!$D$9:$E$14,2,FALSE),0)+O270)</x:f>
      </x:c>
      <x:c r="Q270" s="29" t="str"/>
      <x:c r="R270" s="29" t="str">
        <x:f>IF(P270="","",IF(P270&gt;=13,"P0",IF(P270&gt;=10,"P1",IF(P270&gt;=7,"P2","P3"))))</x:f>
      </x:c>
      <x:c r="S270" s="21" t="str"/>
      <x:c r="T270" s="21" t="str"/>
      <x:c r="U270" s="21" t="str"/>
      <x:c r="V270" s="31" t="str"/>
      <x:c r="W270" s="21" t="str"/>
      <x:c r="X270" s="21" t="str">
        <x:v>未复测</x:v>
      </x:c>
      <x:c r="Y270" s="21" t="str"/>
    </x:row>
    <x:row r="271" ht="52" customHeight="1">
      <x:c r="A271" s="27" t="str">
        <x:v>UX-267</x:v>
      </x:c>
      <x:c r="B271" s="23" t="str">
        <x:v>20 性能、加载与稳定性</x:v>
      </x:c>
      <x:c r="C271" s="23" t="str">
        <x:v>运行质量</x:v>
      </x:c>
      <x:c r="D271" s="23" t="str">
        <x:v>正式入口与 dist</x:v>
      </x:c>
      <x:c r="E271" s="21" t="str">
        <x:v>连续合并保持流畅</x:v>
      </x:c>
      <x:c r="F271" s="21" t="str">
        <x:v>密集盘面、粒子和音效下 FPS/输入延迟可接受</x:v>
      </x:c>
      <x:c r="G271" s="21" t="str">
        <x:v>低端设备 10 分钟压力测试</x:v>
      </x:c>
      <x:c r="H271" s="21" t="str">
        <x:v>理解/操作</x:v>
      </x:c>
      <x:c r="I271" s="21" t="str">
        <x:v>全流程</x:v>
      </x:c>
      <x:c r="J271" s="21" t="str">
        <x:v>全平台</x:v>
      </x:c>
      <x:c r="K271" s="21" t="str"/>
      <x:c r="L271" s="29" t="str">
        <x:v>未检查</x:v>
      </x:c>
      <x:c r="M271" s="29" t="str">
        <x:v>未确认</x:v>
      </x:c>
      <x:c r="N271" s="29" t="str">
        <x:v>未确认</x:v>
      </x:c>
      <x:c r="O271" s="29" t="str"/>
      <x:c r="P271" s="29" t="str">
        <x:f>IF(OR(L271="未检查",L271="通过",L271="不适用"),"",IFERROR(VLOOKUP(M271,'口径与下拉'!$A$9:$B$14,2,FALSE),0)+IFERROR(VLOOKUP(N271,'口径与下拉'!$D$9:$E$14,2,FALSE),0)+O271)</x:f>
      </x:c>
      <x:c r="Q271" s="29" t="str"/>
      <x:c r="R271" s="29" t="str">
        <x:f>IF(P271="","",IF(P271&gt;=13,"P0",IF(P271&gt;=10,"P1",IF(P271&gt;=7,"P2","P3"))))</x:f>
      </x:c>
      <x:c r="S271" s="21" t="str"/>
      <x:c r="T271" s="21" t="str"/>
      <x:c r="U271" s="21" t="str"/>
      <x:c r="V271" s="31" t="str"/>
      <x:c r="W271" s="21" t="str"/>
      <x:c r="X271" s="21" t="str">
        <x:v>未复测</x:v>
      </x:c>
      <x:c r="Y271" s="21" t="str"/>
    </x:row>
    <x:row r="272" ht="52" customHeight="1">
      <x:c r="A272" s="27" t="str">
        <x:v>UX-268</x:v>
      </x:c>
      <x:c r="B272" s="23" t="str">
        <x:v>20 性能、加载与稳定性</x:v>
      </x:c>
      <x:c r="C272" s="23" t="str">
        <x:v>运行质量</x:v>
      </x:c>
      <x:c r="D272" s="23" t="str">
        <x:v>正式入口与 dist</x:v>
      </x:c>
      <x:c r="E272" s="21" t="str">
        <x:v>长会话无明显内存增长</x:v>
      </x:c>
      <x:c r="F272" s="21" t="str">
        <x:v>反复开关页面/弹窗/小游戏后内存回落，无对象累积</x:v>
      </x:c>
      <x:c r="G272" s="21" t="str">
        <x:v>30 分钟内存时间线</x:v>
      </x:c>
      <x:c r="H272" s="21" t="str">
        <x:v>理解/操作</x:v>
      </x:c>
      <x:c r="I272" s="21" t="str">
        <x:v>全流程</x:v>
      </x:c>
      <x:c r="J272" s="21" t="str">
        <x:v>全平台</x:v>
      </x:c>
      <x:c r="K272" s="21" t="str"/>
      <x:c r="L272" s="29" t="str">
        <x:v>未检查</x:v>
      </x:c>
      <x:c r="M272" s="29" t="str">
        <x:v>未确认</x:v>
      </x:c>
      <x:c r="N272" s="29" t="str">
        <x:v>未确认</x:v>
      </x:c>
      <x:c r="O272" s="29" t="str"/>
      <x:c r="P272" s="29" t="str">
        <x:f>IF(OR(L272="未检查",L272="通过",L272="不适用"),"",IFERROR(VLOOKUP(M272,'口径与下拉'!$A$9:$B$14,2,FALSE),0)+IFERROR(VLOOKUP(N272,'口径与下拉'!$D$9:$E$14,2,FALSE),0)+O272)</x:f>
      </x:c>
      <x:c r="Q272" s="29" t="str"/>
      <x:c r="R272" s="29" t="str">
        <x:f>IF(P272="","",IF(P272&gt;=13,"P0",IF(P272&gt;=10,"P1",IF(P272&gt;=7,"P2","P3"))))</x:f>
      </x:c>
      <x:c r="S272" s="21" t="str"/>
      <x:c r="T272" s="21" t="str"/>
      <x:c r="U272" s="21" t="str"/>
      <x:c r="V272" s="31" t="str"/>
      <x:c r="W272" s="21" t="str"/>
      <x:c r="X272" s="21" t="str">
        <x:v>未复测</x:v>
      </x:c>
      <x:c r="Y272" s="21" t="str"/>
    </x:row>
    <x:row r="273" ht="52" customHeight="1">
      <x:c r="A273" s="27" t="str">
        <x:v>UX-269</x:v>
      </x:c>
      <x:c r="B273" s="23" t="str">
        <x:v>20 性能、加载与稳定性</x:v>
      </x:c>
      <x:c r="C273" s="23" t="str">
        <x:v>运行质量</x:v>
      </x:c>
      <x:c r="D273" s="23" t="str">
        <x:v>正式入口与 dist</x:v>
      </x:c>
      <x:c r="E273" s="21" t="str">
        <x:v>监听器不重复注册</x:v>
      </x:c>
      <x:c r="F273" s="21" t="str">
        <x:v>重复进入页面不会导致一次点击多次响应</x:v>
      </x:c>
      <x:c r="G273" s="21" t="str">
        <x:v>监听器/事件计数 + 连续往返</x:v>
      </x:c>
      <x:c r="H273" s="21" t="str">
        <x:v>理解/操作</x:v>
      </x:c>
      <x:c r="I273" s="21" t="str">
        <x:v>全流程</x:v>
      </x:c>
      <x:c r="J273" s="21" t="str">
        <x:v>全平台</x:v>
      </x:c>
      <x:c r="K273" s="21" t="str"/>
      <x:c r="L273" s="29" t="str">
        <x:v>未检查</x:v>
      </x:c>
      <x:c r="M273" s="29" t="str">
        <x:v>未确认</x:v>
      </x:c>
      <x:c r="N273" s="29" t="str">
        <x:v>未确认</x:v>
      </x:c>
      <x:c r="O273" s="29" t="str"/>
      <x:c r="P273" s="29" t="str">
        <x:f>IF(OR(L273="未检查",L273="通过",L273="不适用"),"",IFERROR(VLOOKUP(M273,'口径与下拉'!$A$9:$B$14,2,FALSE),0)+IFERROR(VLOOKUP(N273,'口径与下拉'!$D$9:$E$14,2,FALSE),0)+O273)</x:f>
      </x:c>
      <x:c r="Q273" s="29" t="str"/>
      <x:c r="R273" s="29" t="str">
        <x:f>IF(P273="","",IF(P273&gt;=13,"P0",IF(P273&gt;=10,"P1",IF(P273&gt;=7,"P2","P3"))))</x:f>
      </x:c>
      <x:c r="S273" s="21" t="str"/>
      <x:c r="T273" s="21" t="str"/>
      <x:c r="U273" s="21" t="str"/>
      <x:c r="V273" s="31" t="str"/>
      <x:c r="W273" s="21" t="str"/>
      <x:c r="X273" s="21" t="str">
        <x:v>未复测</x:v>
      </x:c>
      <x:c r="Y273" s="21" t="str"/>
    </x:row>
    <x:row r="274" ht="52" customHeight="1">
      <x:c r="A274" s="27" t="str">
        <x:v>UX-270</x:v>
      </x:c>
      <x:c r="B274" s="23" t="str">
        <x:v>20 性能、加载与稳定性</x:v>
      </x:c>
      <x:c r="C274" s="23" t="str">
        <x:v>运行质量</x:v>
      </x:c>
      <x:c r="D274" s="23" t="str">
        <x:v>正式入口与 dist</x:v>
      </x:c>
      <x:c r="E274" s="21" t="str">
        <x:v>MutationObserver/RAF 可释放</x:v>
      </x:c>
      <x:c r="F274" s="21" t="str">
        <x:v>页面离开、后台、销毁时停止无用观察和动画循环</x:v>
      </x:c>
      <x:c r="G274" s="21" t="str">
        <x:v>性能面板与生命周期测试</x:v>
      </x:c>
      <x:c r="H274" s="21" t="str">
        <x:v>理解/操作</x:v>
      </x:c>
      <x:c r="I274" s="21" t="str">
        <x:v>全流程</x:v>
      </x:c>
      <x:c r="J274" s="21" t="str">
        <x:v>全平台</x:v>
      </x:c>
      <x:c r="K274" s="21" t="str"/>
      <x:c r="L274" s="29" t="str">
        <x:v>未检查</x:v>
      </x:c>
      <x:c r="M274" s="29" t="str">
        <x:v>未确认</x:v>
      </x:c>
      <x:c r="N274" s="29" t="str">
        <x:v>未确认</x:v>
      </x:c>
      <x:c r="O274" s="29" t="str"/>
      <x:c r="P274" s="29" t="str">
        <x:f>IF(OR(L274="未检查",L274="通过",L274="不适用"),"",IFERROR(VLOOKUP(M274,'口径与下拉'!$A$9:$B$14,2,FALSE),0)+IFERROR(VLOOKUP(N274,'口径与下拉'!$D$9:$E$14,2,FALSE),0)+O274)</x:f>
      </x:c>
      <x:c r="Q274" s="29" t="str"/>
      <x:c r="R274" s="29" t="str">
        <x:f>IF(P274="","",IF(P274&gt;=13,"P0",IF(P274&gt;=10,"P1",IF(P274&gt;=7,"P2","P3"))))</x:f>
      </x:c>
      <x:c r="S274" s="21" t="str"/>
      <x:c r="T274" s="21" t="str"/>
      <x:c r="U274" s="21" t="str"/>
      <x:c r="V274" s="31" t="str"/>
      <x:c r="W274" s="21" t="str"/>
      <x:c r="X274" s="21" t="str">
        <x:v>未复测</x:v>
      </x:c>
      <x:c r="Y274" s="21" t="str"/>
    </x:row>
    <x:row r="275" ht="52" customHeight="1">
      <x:c r="A275" s="27" t="str">
        <x:v>UX-271</x:v>
      </x:c>
      <x:c r="B275" s="23" t="str">
        <x:v>20 性能、加载与稳定性</x:v>
      </x:c>
      <x:c r="C275" s="23" t="str">
        <x:v>运行质量</x:v>
      </x:c>
      <x:c r="D275" s="23" t="str">
        <x:v>正式入口与 dist</x:v>
      </x:c>
      <x:c r="E275" s="21" t="str">
        <x:v>后台恢复不爆发补帧</x:v>
      </x:c>
      <x:c r="F275" s="21" t="str">
        <x:v>返回前台后动画、计时和音频稳定，不瞬间执行大量任务</x:v>
      </x:c>
      <x:c r="G275" s="21" t="str">
        <x:v>长时间切后台</x:v>
      </x:c>
      <x:c r="H275" s="21" t="str">
        <x:v>理解/操作</x:v>
      </x:c>
      <x:c r="I275" s="21" t="str">
        <x:v>全流程</x:v>
      </x:c>
      <x:c r="J275" s="21" t="str">
        <x:v>全平台</x:v>
      </x:c>
      <x:c r="K275" s="21" t="str"/>
      <x:c r="L275" s="29" t="str">
        <x:v>未检查</x:v>
      </x:c>
      <x:c r="M275" s="29" t="str">
        <x:v>未确认</x:v>
      </x:c>
      <x:c r="N275" s="29" t="str">
        <x:v>未确认</x:v>
      </x:c>
      <x:c r="O275" s="29" t="str"/>
      <x:c r="P275" s="29" t="str">
        <x:f>IF(OR(L275="未检查",L275="通过",L275="不适用"),"",IFERROR(VLOOKUP(M275,'口径与下拉'!$A$9:$B$14,2,FALSE),0)+IFERROR(VLOOKUP(N275,'口径与下拉'!$D$9:$E$14,2,FALSE),0)+O275)</x:f>
      </x:c>
      <x:c r="Q275" s="29" t="str"/>
      <x:c r="R275" s="29" t="str">
        <x:f>IF(P275="","",IF(P275&gt;=13,"P0",IF(P275&gt;=10,"P1",IF(P275&gt;=7,"P2","P3"))))</x:f>
      </x:c>
      <x:c r="S275" s="21" t="str"/>
      <x:c r="T275" s="21" t="str"/>
      <x:c r="U275" s="21" t="str"/>
      <x:c r="V275" s="31" t="str"/>
      <x:c r="W275" s="21" t="str"/>
      <x:c r="X275" s="21" t="str">
        <x:v>未复测</x:v>
      </x:c>
      <x:c r="Y275" s="21" t="str"/>
    </x:row>
    <x:row r="276" ht="52" customHeight="1">
      <x:c r="A276" s="27" t="str">
        <x:v>UX-272</x:v>
      </x:c>
      <x:c r="B276" s="23" t="str">
        <x:v>20 性能、加载与稳定性</x:v>
      </x:c>
      <x:c r="C276" s="23" t="str">
        <x:v>运行质量</x:v>
      </x:c>
      <x:c r="D276" s="23" t="str">
        <x:v>正式入口与 dist</x:v>
      </x:c>
      <x:c r="E276" s="21" t="str">
        <x:v>控制台无未处理错误</x:v>
      </x:c>
      <x:c r="F276" s="21" t="str">
        <x:v>正式关键路径无 uncaught、unhandledrejection 或持续 warning</x:v>
      </x:c>
      <x:c r="G276" s="21" t="str">
        <x:v>自动化收集 console/pageerror</x:v>
      </x:c>
      <x:c r="H276" s="21" t="str">
        <x:v>理解/操作</x:v>
      </x:c>
      <x:c r="I276" s="21" t="str">
        <x:v>全流程</x:v>
      </x:c>
      <x:c r="J276" s="21" t="str">
        <x:v>全平台</x:v>
      </x:c>
      <x:c r="K276" s="21" t="str"/>
      <x:c r="L276" s="29" t="str">
        <x:v>未检查</x:v>
      </x:c>
      <x:c r="M276" s="29" t="str">
        <x:v>未确认</x:v>
      </x:c>
      <x:c r="N276" s="29" t="str">
        <x:v>未确认</x:v>
      </x:c>
      <x:c r="O276" s="29" t="str"/>
      <x:c r="P276" s="29" t="str">
        <x:f>IF(OR(L276="未检查",L276="通过",L276="不适用"),"",IFERROR(VLOOKUP(M276,'口径与下拉'!$A$9:$B$14,2,FALSE),0)+IFERROR(VLOOKUP(N276,'口径与下拉'!$D$9:$E$14,2,FALSE),0)+O276)</x:f>
      </x:c>
      <x:c r="Q276" s="29" t="str"/>
      <x:c r="R276" s="29" t="str">
        <x:f>IF(P276="","",IF(P276&gt;=13,"P0",IF(P276&gt;=10,"P1",IF(P276&gt;=7,"P2","P3"))))</x:f>
      </x:c>
      <x:c r="S276" s="21" t="str"/>
      <x:c r="T276" s="21" t="str"/>
      <x:c r="U276" s="21" t="str"/>
      <x:c r="V276" s="31" t="str"/>
      <x:c r="W276" s="21" t="str"/>
      <x:c r="X276" s="21" t="str">
        <x:v>未复测</x:v>
      </x:c>
      <x:c r="Y276" s="21" t="str"/>
    </x:row>
    <x:row r="277" ht="52" customHeight="1">
      <x:c r="A277" s="27" t="str">
        <x:v>UX-273</x:v>
      </x:c>
      <x:c r="B277" s="23" t="str">
        <x:v>20 性能、加载与稳定性</x:v>
      </x:c>
      <x:c r="C277" s="23" t="str">
        <x:v>运行质量</x:v>
      </x:c>
      <x:c r="D277" s="23" t="str">
        <x:v>正式入口与 dist</x:v>
      </x:c>
      <x:c r="E277" s="21" t="str">
        <x:v>网络无 4xx/5xx/requestfailed</x:v>
      </x:c>
      <x:c r="F277" s="21" t="str">
        <x:v>正式资源路径、缓存和包内引用完整</x:v>
      </x:c>
      <x:c r="G277" s="21" t="str">
        <x:v>源入口与 dist 全流程抓取</x:v>
      </x:c>
      <x:c r="H277" s="21" t="str">
        <x:v>理解/操作</x:v>
      </x:c>
      <x:c r="I277" s="21" t="str">
        <x:v>全流程</x:v>
      </x:c>
      <x:c r="J277" s="21" t="str">
        <x:v>全平台</x:v>
      </x:c>
      <x:c r="K277" s="21" t="str"/>
      <x:c r="L277" s="29" t="str">
        <x:v>未检查</x:v>
      </x:c>
      <x:c r="M277" s="29" t="str">
        <x:v>未确认</x:v>
      </x:c>
      <x:c r="N277" s="29" t="str">
        <x:v>未确认</x:v>
      </x:c>
      <x:c r="O277" s="29" t="str"/>
      <x:c r="P277" s="29" t="str">
        <x:f>IF(OR(L277="未检查",L277="通过",L277="不适用"),"",IFERROR(VLOOKUP(M277,'口径与下拉'!$A$9:$B$14,2,FALSE),0)+IFERROR(VLOOKUP(N277,'口径与下拉'!$D$9:$E$14,2,FALSE),0)+O277)</x:f>
      </x:c>
      <x:c r="Q277" s="29" t="str"/>
      <x:c r="R277" s="29" t="str">
        <x:f>IF(P277="","",IF(P277&gt;=13,"P0",IF(P277&gt;=10,"P1",IF(P277&gt;=7,"P2","P3"))))</x:f>
      </x:c>
      <x:c r="S277" s="21" t="str"/>
      <x:c r="T277" s="21" t="str"/>
      <x:c r="U277" s="21" t="str"/>
      <x:c r="V277" s="31" t="str"/>
      <x:c r="W277" s="21" t="str"/>
      <x:c r="X277" s="21" t="str">
        <x:v>未复测</x:v>
      </x:c>
      <x:c r="Y277" s="21" t="str"/>
    </x:row>
    <x:row r="278" ht="52" customHeight="1">
      <x:c r="A278" s="27" t="str">
        <x:v>UX-274</x:v>
      </x:c>
      <x:c r="B278" s="23" t="str">
        <x:v>20 性能、加载与稳定性</x:v>
      </x:c>
      <x:c r="C278" s="23" t="str">
        <x:v>运行质量</x:v>
      </x:c>
      <x:c r="D278" s="23" t="str">
        <x:v>正式入口与 dist</x:v>
      </x:c>
      <x:c r="E278" s="21" t="str">
        <x:v>source 与 dist 行为一致</x:v>
      </x:c>
      <x:c r="F278" s="21" t="str">
        <x:v>构建后页面、数据、资源、版本和测试结果无陈旧差异</x:v>
      </x:c>
      <x:c r="G278" s="21" t="str">
        <x:v>构建前后关键路径对比</x:v>
      </x:c>
      <x:c r="H278" s="21" t="str">
        <x:v>理解/操作</x:v>
      </x:c>
      <x:c r="I278" s="21" t="str">
        <x:v>全流程</x:v>
      </x:c>
      <x:c r="J278" s="21" t="str">
        <x:v>全平台</x:v>
      </x:c>
      <x:c r="K278" s="21" t="str"/>
      <x:c r="L278" s="29" t="str">
        <x:v>未检查</x:v>
      </x:c>
      <x:c r="M278" s="29" t="str">
        <x:v>未确认</x:v>
      </x:c>
      <x:c r="N278" s="29" t="str">
        <x:v>未确认</x:v>
      </x:c>
      <x:c r="O278" s="29" t="str"/>
      <x:c r="P278" s="29" t="str">
        <x:f>IF(OR(L278="未检查",L278="通过",L278="不适用"),"",IFERROR(VLOOKUP(M278,'口径与下拉'!$A$9:$B$14,2,FALSE),0)+IFERROR(VLOOKUP(N278,'口径与下拉'!$D$9:$E$14,2,FALSE),0)+O278)</x:f>
      </x:c>
      <x:c r="Q278" s="29" t="str"/>
      <x:c r="R278" s="29" t="str">
        <x:f>IF(P278="","",IF(P278&gt;=13,"P0",IF(P278&gt;=10,"P1",IF(P278&gt;=7,"P2","P3"))))</x:f>
      </x:c>
      <x:c r="S278" s="21" t="str"/>
      <x:c r="T278" s="21" t="str"/>
      <x:c r="U278" s="21" t="str"/>
      <x:c r="V278" s="31" t="str"/>
      <x:c r="W278" s="21" t="str"/>
      <x:c r="X278" s="21" t="str">
        <x:v>未复测</x:v>
      </x:c>
      <x:c r="Y278" s="21" t="str"/>
    </x:row>
    <x:row r="279" ht="52" customHeight="1">
      <x:c r="A279" s="27" t="str">
        <x:v>UX-275</x:v>
      </x:c>
      <x:c r="B279" s="23" t="str">
        <x:v>20 性能、加载与稳定性</x:v>
      </x:c>
      <x:c r="C279" s="23" t="str">
        <x:v>运行质量</x:v>
      </x:c>
      <x:c r="D279" s="23" t="str">
        <x:v>正式入口与 dist</x:v>
      </x:c>
      <x:c r="E279" s="21" t="str">
        <x:v>包体与单资源符合预算</x:v>
      </x:c>
      <x:c r="F279" s="21" t="str">
        <x:v>TapTap 包体、首包、最大图片/音频/视频有明确门槛</x:v>
      </x:c>
      <x:c r="G279" s="21" t="str">
        <x:v>构建报告与资源清单</x:v>
      </x:c>
      <x:c r="H279" s="21" t="str">
        <x:v>理解/操作</x:v>
      </x:c>
      <x:c r="I279" s="21" t="str">
        <x:v>全流程</x:v>
      </x:c>
      <x:c r="J279" s="21" t="str">
        <x:v>全平台</x:v>
      </x:c>
      <x:c r="K279" s="21" t="str"/>
      <x:c r="L279" s="29" t="str">
        <x:v>未检查</x:v>
      </x:c>
      <x:c r="M279" s="29" t="str">
        <x:v>未确认</x:v>
      </x:c>
      <x:c r="N279" s="29" t="str">
        <x:v>未确认</x:v>
      </x:c>
      <x:c r="O279" s="29" t="str"/>
      <x:c r="P279" s="29" t="str">
        <x:f>IF(OR(L279="未检查",L279="通过",L279="不适用"),"",IFERROR(VLOOKUP(M279,'口径与下拉'!$A$9:$B$14,2,FALSE),0)+IFERROR(VLOOKUP(N279,'口径与下拉'!$D$9:$E$14,2,FALSE),0)+O279)</x:f>
      </x:c>
      <x:c r="Q279" s="29" t="str"/>
      <x:c r="R279" s="29" t="str">
        <x:f>IF(P279="","",IF(P279&gt;=13,"P0",IF(P279&gt;=10,"P1",IF(P279&gt;=7,"P2","P3"))))</x:f>
      </x:c>
      <x:c r="S279" s="21" t="str"/>
      <x:c r="T279" s="21" t="str"/>
      <x:c r="U279" s="21" t="str"/>
      <x:c r="V279" s="31" t="str"/>
      <x:c r="W279" s="21" t="str"/>
      <x:c r="X279" s="21" t="str">
        <x:v>未复测</x:v>
      </x:c>
      <x:c r="Y279" s="21" t="str"/>
    </x:row>
    <x:row r="280" ht="52" customHeight="1">
      <x:c r="A280" s="27" t="str">
        <x:v>UX-276</x:v>
      </x:c>
      <x:c r="B280" s="23" t="str">
        <x:v>20 性能、加载与稳定性</x:v>
      </x:c>
      <x:c r="C280" s="23" t="str">
        <x:v>运行质量</x:v>
      </x:c>
      <x:c r="D280" s="23" t="str">
        <x:v>正式入口与 dist</x:v>
      </x:c>
      <x:c r="E280" s="21" t="str">
        <x:v>异常输入不导致崩溃</x:v>
      </x:c>
      <x:c r="F280" s="21" t="str">
        <x:v>连点、随机导航、极端数值、存档损坏与旋转下仍可恢复</x:v>
      </x:c>
      <x:c r="G280" s="21" t="str">
        <x:v>猴子测试/模糊测试</x:v>
      </x:c>
      <x:c r="H280" s="21" t="str">
        <x:v>理解/操作</x:v>
      </x:c>
      <x:c r="I280" s="21" t="str">
        <x:v>全流程</x:v>
      </x:c>
      <x:c r="J280" s="21" t="str">
        <x:v>全平台</x:v>
      </x:c>
      <x:c r="K280" s="21" t="str"/>
      <x:c r="L280" s="29" t="str">
        <x:v>未检查</x:v>
      </x:c>
      <x:c r="M280" s="29" t="str">
        <x:v>未确认</x:v>
      </x:c>
      <x:c r="N280" s="29" t="str">
        <x:v>未确认</x:v>
      </x:c>
      <x:c r="O280" s="29" t="str"/>
      <x:c r="P280" s="29" t="str">
        <x:f>IF(OR(L280="未检查",L280="通过",L280="不适用"),"",IFERROR(VLOOKUP(M280,'口径与下拉'!$A$9:$B$14,2,FALSE),0)+IFERROR(VLOOKUP(N280,'口径与下拉'!$D$9:$E$14,2,FALSE),0)+O280)</x:f>
      </x:c>
      <x:c r="Q280" s="29" t="str"/>
      <x:c r="R280" s="29" t="str">
        <x:f>IF(P280="","",IF(P280&gt;=13,"P0",IF(P280&gt;=10,"P1",IF(P280&gt;=7,"P2","P3"))))</x:f>
      </x:c>
      <x:c r="S280" s="21" t="str"/>
      <x:c r="T280" s="21" t="str"/>
      <x:c r="U280" s="21" t="str"/>
      <x:c r="V280" s="31" t="str"/>
      <x:c r="W280" s="21" t="str"/>
      <x:c r="X280" s="21" t="str">
        <x:v>未复测</x:v>
      </x:c>
      <x:c r="Y280" s="21" t="str"/>
    </x:row>
    <x:row r="281" ht="52" customHeight="1">
      <x:c r="A281" s="27" t="str">
        <x:v>UX-277</x:v>
      </x:c>
      <x:c r="B281" s="23" t="str">
        <x:v>21 音频、视频与动效</x:v>
      </x:c>
      <x:c r="C281" s="23" t="str">
        <x:v>多媒体体验</x:v>
      </x:c>
      <x:c r="D281" s="23" t="str">
        <x:v>全局音画</x:v>
      </x:c>
      <x:c r="E281" s="21" t="str">
        <x:v>首次播放遵守浏览器策略</x:v>
      </x:c>
      <x:c r="F281" s="21" t="str">
        <x:v>未获手势不报错/卡死；获手势后可正常启动</x:v>
      </x:c>
      <x:c r="G281" s="21" t="str">
        <x:v>冷启动自动播放阻止测试</x:v>
      </x:c>
      <x:c r="H281" s="21" t="str">
        <x:v>理解/操作</x:v>
      </x:c>
      <x:c r="I281" s="21" t="str">
        <x:v>全流程</x:v>
      </x:c>
      <x:c r="J281" s="21" t="str">
        <x:v>全平台</x:v>
      </x:c>
      <x:c r="K281" s="21" t="str"/>
      <x:c r="L281" s="29" t="str">
        <x:v>未检查</x:v>
      </x:c>
      <x:c r="M281" s="29" t="str">
        <x:v>未确认</x:v>
      </x:c>
      <x:c r="N281" s="29" t="str">
        <x:v>未确认</x:v>
      </x:c>
      <x:c r="O281" s="29" t="str"/>
      <x:c r="P281" s="29" t="str">
        <x:f>IF(OR(L281="未检查",L281="通过",L281="不适用"),"",IFERROR(VLOOKUP(M281,'口径与下拉'!$A$9:$B$14,2,FALSE),0)+IFERROR(VLOOKUP(N281,'口径与下拉'!$D$9:$E$14,2,FALSE),0)+O281)</x:f>
      </x:c>
      <x:c r="Q281" s="29" t="str"/>
      <x:c r="R281" s="29" t="str">
        <x:f>IF(P281="","",IF(P281&gt;=13,"P0",IF(P281&gt;=10,"P1",IF(P281&gt;=7,"P2","P3"))))</x:f>
      </x:c>
      <x:c r="S281" s="21" t="str"/>
      <x:c r="T281" s="21" t="str"/>
      <x:c r="U281" s="21" t="str"/>
      <x:c r="V281" s="31" t="str"/>
      <x:c r="W281" s="21" t="str"/>
      <x:c r="X281" s="21" t="str">
        <x:v>未复测</x:v>
      </x:c>
      <x:c r="Y281" s="21" t="str"/>
    </x:row>
    <x:row r="282" ht="52" customHeight="1">
      <x:c r="A282" s="27" t="str">
        <x:v>UX-278</x:v>
      </x:c>
      <x:c r="B282" s="23" t="str">
        <x:v>21 音频、视频与动效</x:v>
      </x:c>
      <x:c r="C282" s="23" t="str">
        <x:v>多媒体体验</x:v>
      </x:c>
      <x:c r="D282" s="23" t="str">
        <x:v>全局音画</x:v>
      </x:c>
      <x:c r="E282" s="21" t="str">
        <x:v>静音与音量设置持久化</x:v>
      </x:c>
      <x:c r="F282" s="21" t="str">
        <x:v>BGM、音效、语音的开关/音量规则清晰，重启后保持</x:v>
      </x:c>
      <x:c r="G282" s="21" t="str">
        <x:v>设置前后与重启测试</x:v>
      </x:c>
      <x:c r="H282" s="21" t="str">
        <x:v>理解/操作</x:v>
      </x:c>
      <x:c r="I282" s="21" t="str">
        <x:v>全流程</x:v>
      </x:c>
      <x:c r="J282" s="21" t="str">
        <x:v>全平台</x:v>
      </x:c>
      <x:c r="K282" s="21" t="str"/>
      <x:c r="L282" s="29" t="str">
        <x:v>未检查</x:v>
      </x:c>
      <x:c r="M282" s="29" t="str">
        <x:v>未确认</x:v>
      </x:c>
      <x:c r="N282" s="29" t="str">
        <x:v>未确认</x:v>
      </x:c>
      <x:c r="O282" s="29" t="str"/>
      <x:c r="P282" s="29" t="str">
        <x:f>IF(OR(L282="未检查",L282="通过",L282="不适用"),"",IFERROR(VLOOKUP(M282,'口径与下拉'!$A$9:$B$14,2,FALSE),0)+IFERROR(VLOOKUP(N282,'口径与下拉'!$D$9:$E$14,2,FALSE),0)+O282)</x:f>
      </x:c>
      <x:c r="Q282" s="29" t="str"/>
      <x:c r="R282" s="29" t="str">
        <x:f>IF(P282="","",IF(P282&gt;=13,"P0",IF(P282&gt;=10,"P1",IF(P282&gt;=7,"P2","P3"))))</x:f>
      </x:c>
      <x:c r="S282" s="21" t="str"/>
      <x:c r="T282" s="21" t="str"/>
      <x:c r="U282" s="21" t="str"/>
      <x:c r="V282" s="31" t="str"/>
      <x:c r="W282" s="21" t="str"/>
      <x:c r="X282" s="21" t="str">
        <x:v>未复测</x:v>
      </x:c>
      <x:c r="Y282" s="21" t="str"/>
    </x:row>
    <x:row r="283" ht="52" customHeight="1">
      <x:c r="A283" s="27" t="str">
        <x:v>UX-279</x:v>
      </x:c>
      <x:c r="B283" s="23" t="str">
        <x:v>21 音频、视频与动效</x:v>
      </x:c>
      <x:c r="C283" s="23" t="str">
        <x:v>多媒体体验</x:v>
      </x:c>
      <x:c r="D283" s="23" t="str">
        <x:v>全局音画</x:v>
      </x:c>
      <x:c r="E283" s="21" t="str">
        <x:v>BGM、音效、语音混音平衡</x:v>
      </x:c>
      <x:c r="F283" s="21" t="str">
        <x:v>语音可听清，连续合并不刺耳，提示音不淹没音乐</x:v>
      </x:c>
      <x:c r="G283" s="21" t="str">
        <x:v>耳机/扬声器主观评测</x:v>
      </x:c>
      <x:c r="H283" s="21" t="str">
        <x:v>理解/操作</x:v>
      </x:c>
      <x:c r="I283" s="21" t="str">
        <x:v>全流程</x:v>
      </x:c>
      <x:c r="J283" s="21" t="str">
        <x:v>全平台</x:v>
      </x:c>
      <x:c r="K283" s="21" t="str"/>
      <x:c r="L283" s="29" t="str">
        <x:v>未检查</x:v>
      </x:c>
      <x:c r="M283" s="29" t="str">
        <x:v>未确认</x:v>
      </x:c>
      <x:c r="N283" s="29" t="str">
        <x:v>未确认</x:v>
      </x:c>
      <x:c r="O283" s="29" t="str"/>
      <x:c r="P283" s="29" t="str">
        <x:f>IF(OR(L283="未检查",L283="通过",L283="不适用"),"",IFERROR(VLOOKUP(M283,'口径与下拉'!$A$9:$B$14,2,FALSE),0)+IFERROR(VLOOKUP(N283,'口径与下拉'!$D$9:$E$14,2,FALSE),0)+O283)</x:f>
      </x:c>
      <x:c r="Q283" s="29" t="str"/>
      <x:c r="R283" s="29" t="str">
        <x:f>IF(P283="","",IF(P283&gt;=13,"P0",IF(P283&gt;=10,"P1",IF(P283&gt;=7,"P2","P3"))))</x:f>
      </x:c>
      <x:c r="S283" s="21" t="str"/>
      <x:c r="T283" s="21" t="str"/>
      <x:c r="U283" s="21" t="str"/>
      <x:c r="V283" s="31" t="str"/>
      <x:c r="W283" s="21" t="str"/>
      <x:c r="X283" s="21" t="str">
        <x:v>未复测</x:v>
      </x:c>
      <x:c r="Y283" s="21" t="str"/>
    </x:row>
    <x:row r="284" ht="52" customHeight="1">
      <x:c r="A284" s="27" t="str">
        <x:v>UX-280</x:v>
      </x:c>
      <x:c r="B284" s="23" t="str">
        <x:v>21 音频、视频与动效</x:v>
      </x:c>
      <x:c r="C284" s="23" t="str">
        <x:v>多媒体体验</x:v>
      </x:c>
      <x:c r="D284" s="23" t="str">
        <x:v>全局音画</x:v>
      </x:c>
      <x:c r="E284" s="21" t="str">
        <x:v>同类高频音效有节流</x:v>
      </x:c>
      <x:c r="F284" s="21" t="str">
        <x:v>连续点击/合并不会叠加爆音或产生疲劳</x:v>
      </x:c>
      <x:c r="G284" s="21" t="str">
        <x:v>高频输入录音检查</x:v>
      </x:c>
      <x:c r="H284" s="21" t="str">
        <x:v>理解/操作</x:v>
      </x:c>
      <x:c r="I284" s="21" t="str">
        <x:v>全流程</x:v>
      </x:c>
      <x:c r="J284" s="21" t="str">
        <x:v>全平台</x:v>
      </x:c>
      <x:c r="K284" s="21" t="str"/>
      <x:c r="L284" s="29" t="str">
        <x:v>未检查</x:v>
      </x:c>
      <x:c r="M284" s="29" t="str">
        <x:v>未确认</x:v>
      </x:c>
      <x:c r="N284" s="29" t="str">
        <x:v>未确认</x:v>
      </x:c>
      <x:c r="O284" s="29" t="str"/>
      <x:c r="P284" s="29" t="str">
        <x:f>IF(OR(L284="未检查",L284="通过",L284="不适用"),"",IFERROR(VLOOKUP(M284,'口径与下拉'!$A$9:$B$14,2,FALSE),0)+IFERROR(VLOOKUP(N284,'口径与下拉'!$D$9:$E$14,2,FALSE),0)+O284)</x:f>
      </x:c>
      <x:c r="Q284" s="29" t="str"/>
      <x:c r="R284" s="29" t="str">
        <x:f>IF(P284="","",IF(P284&gt;=13,"P0",IF(P284&gt;=10,"P1",IF(P284&gt;=7,"P2","P3"))))</x:f>
      </x:c>
      <x:c r="S284" s="21" t="str"/>
      <x:c r="T284" s="21" t="str"/>
      <x:c r="U284" s="21" t="str"/>
      <x:c r="V284" s="31" t="str"/>
      <x:c r="W284" s="21" t="str"/>
      <x:c r="X284" s="21" t="str">
        <x:v>未复测</x:v>
      </x:c>
      <x:c r="Y284" s="21" t="str"/>
    </x:row>
    <x:row r="285" ht="52" customHeight="1">
      <x:c r="A285" s="27" t="str">
        <x:v>UX-281</x:v>
      </x:c>
      <x:c r="B285" s="23" t="str">
        <x:v>21 音频、视频与动效</x:v>
      </x:c>
      <x:c r="C285" s="23" t="str">
        <x:v>多媒体体验</x:v>
      </x:c>
      <x:c r="D285" s="23" t="str">
        <x:v>全局音画</x:v>
      </x:c>
      <x:c r="E285" s="21" t="str">
        <x:v>场景切换音乐平滑</x:v>
      </x:c>
      <x:c r="F285" s="21" t="str">
        <x:v>无突断、双重播放、错误循环或后台继续播放</x:v>
      </x:c>
      <x:c r="G285" s="21" t="str">
        <x:v>页面往返与后台测试</x:v>
      </x:c>
      <x:c r="H285" s="21" t="str">
        <x:v>理解/操作</x:v>
      </x:c>
      <x:c r="I285" s="21" t="str">
        <x:v>全流程</x:v>
      </x:c>
      <x:c r="J285" s="21" t="str">
        <x:v>全平台</x:v>
      </x:c>
      <x:c r="K285" s="21" t="str"/>
      <x:c r="L285" s="29" t="str">
        <x:v>未检查</x:v>
      </x:c>
      <x:c r="M285" s="29" t="str">
        <x:v>未确认</x:v>
      </x:c>
      <x:c r="N285" s="29" t="str">
        <x:v>未确认</x:v>
      </x:c>
      <x:c r="O285" s="29" t="str"/>
      <x:c r="P285" s="29" t="str">
        <x:f>IF(OR(L285="未检查",L285="通过",L285="不适用"),"",IFERROR(VLOOKUP(M285,'口径与下拉'!$A$9:$B$14,2,FALSE),0)+IFERROR(VLOOKUP(N285,'口径与下拉'!$D$9:$E$14,2,FALSE),0)+O285)</x:f>
      </x:c>
      <x:c r="Q285" s="29" t="str"/>
      <x:c r="R285" s="29" t="str">
        <x:f>IF(P285="","",IF(P285&gt;=13,"P0",IF(P285&gt;=10,"P1",IF(P285&gt;=7,"P2","P3"))))</x:f>
      </x:c>
      <x:c r="S285" s="21" t="str"/>
      <x:c r="T285" s="21" t="str"/>
      <x:c r="U285" s="21" t="str"/>
      <x:c r="V285" s="31" t="str"/>
      <x:c r="W285" s="21" t="str"/>
      <x:c r="X285" s="21" t="str">
        <x:v>未复测</x:v>
      </x:c>
      <x:c r="Y285" s="21" t="str"/>
    </x:row>
    <x:row r="286" ht="52" customHeight="1">
      <x:c r="A286" s="27" t="str">
        <x:v>UX-282</x:v>
      </x:c>
      <x:c r="B286" s="23" t="str">
        <x:v>21 音频、视频与动效</x:v>
      </x:c>
      <x:c r="C286" s="23" t="str">
        <x:v>多媒体体验</x:v>
      </x:c>
      <x:c r="D286" s="23" t="str">
        <x:v>全局音画</x:v>
      </x:c>
      <x:c r="E286" s="21" t="str">
        <x:v>关键反馈不只靠声音</x:v>
      </x:c>
      <x:c r="F286" s="21" t="str">
        <x:v>静音时仍能理解成功、失败、警告和节奏</x:v>
      </x:c>
      <x:c r="G286" s="21" t="str">
        <x:v>全程静音游玩</x:v>
      </x:c>
      <x:c r="H286" s="21" t="str">
        <x:v>理解/操作</x:v>
      </x:c>
      <x:c r="I286" s="21" t="str">
        <x:v>全流程</x:v>
      </x:c>
      <x:c r="J286" s="21" t="str">
        <x:v>全平台</x:v>
      </x:c>
      <x:c r="K286" s="21" t="str"/>
      <x:c r="L286" s="29" t="str">
        <x:v>未检查</x:v>
      </x:c>
      <x:c r="M286" s="29" t="str">
        <x:v>未确认</x:v>
      </x:c>
      <x:c r="N286" s="29" t="str">
        <x:v>未确认</x:v>
      </x:c>
      <x:c r="O286" s="29" t="str"/>
      <x:c r="P286" s="29" t="str">
        <x:f>IF(OR(L286="未检查",L286="通过",L286="不适用"),"",IFERROR(VLOOKUP(M286,'口径与下拉'!$A$9:$B$14,2,FALSE),0)+IFERROR(VLOOKUP(N286,'口径与下拉'!$D$9:$E$14,2,FALSE),0)+O286)</x:f>
      </x:c>
      <x:c r="Q286" s="29" t="str"/>
      <x:c r="R286" s="29" t="str">
        <x:f>IF(P286="","",IF(P286&gt;=13,"P0",IF(P286&gt;=10,"P1",IF(P286&gt;=7,"P2","P3"))))</x:f>
      </x:c>
      <x:c r="S286" s="21" t="str"/>
      <x:c r="T286" s="21" t="str"/>
      <x:c r="U286" s="21" t="str"/>
      <x:c r="V286" s="31" t="str"/>
      <x:c r="W286" s="21" t="str"/>
      <x:c r="X286" s="21" t="str">
        <x:v>未复测</x:v>
      </x:c>
      <x:c r="Y286" s="21" t="str"/>
    </x:row>
    <x:row r="287" ht="52" customHeight="1">
      <x:c r="A287" s="27" t="str">
        <x:v>UX-283</x:v>
      </x:c>
      <x:c r="B287" s="23" t="str">
        <x:v>21 音频、视频与动效</x:v>
      </x:c>
      <x:c r="C287" s="23" t="str">
        <x:v>多媒体体验</x:v>
      </x:c>
      <x:c r="D287" s="23" t="str">
        <x:v>全局音画</x:v>
      </x:c>
      <x:c r="E287" s="21" t="str">
        <x:v>剧情视频可跳过/重看</x:v>
      </x:c>
      <x:c r="F287" s="21" t="str">
        <x:v>跳过不丢状态；重看不重复奖励；控件可达</x:v>
      </x:c>
      <x:c r="G287" s="21" t="str">
        <x:v>播放各阶段操作</x:v>
      </x:c>
      <x:c r="H287" s="21" t="str">
        <x:v>理解/操作</x:v>
      </x:c>
      <x:c r="I287" s="21" t="str">
        <x:v>全流程</x:v>
      </x:c>
      <x:c r="J287" s="21" t="str">
        <x:v>全平台</x:v>
      </x:c>
      <x:c r="K287" s="21" t="str"/>
      <x:c r="L287" s="29" t="str">
        <x:v>未检查</x:v>
      </x:c>
      <x:c r="M287" s="29" t="str">
        <x:v>未确认</x:v>
      </x:c>
      <x:c r="N287" s="29" t="str">
        <x:v>未确认</x:v>
      </x:c>
      <x:c r="O287" s="29" t="str"/>
      <x:c r="P287" s="29" t="str">
        <x:f>IF(OR(L287="未检查",L287="通过",L287="不适用"),"",IFERROR(VLOOKUP(M287,'口径与下拉'!$A$9:$B$14,2,FALSE),0)+IFERROR(VLOOKUP(N287,'口径与下拉'!$D$9:$E$14,2,FALSE),0)+O287)</x:f>
      </x:c>
      <x:c r="Q287" s="29" t="str"/>
      <x:c r="R287" s="29" t="str">
        <x:f>IF(P287="","",IF(P287&gt;=13,"P0",IF(P287&gt;=10,"P1",IF(P287&gt;=7,"P2","P3"))))</x:f>
      </x:c>
      <x:c r="S287" s="21" t="str"/>
      <x:c r="T287" s="21" t="str"/>
      <x:c r="U287" s="21" t="str"/>
      <x:c r="V287" s="31" t="str"/>
      <x:c r="W287" s="21" t="str"/>
      <x:c r="X287" s="21" t="str">
        <x:v>未复测</x:v>
      </x:c>
      <x:c r="Y287" s="21" t="str"/>
    </x:row>
    <x:row r="288" ht="52" customHeight="1">
      <x:c r="A288" s="27" t="str">
        <x:v>UX-284</x:v>
      </x:c>
      <x:c r="B288" s="23" t="str">
        <x:v>21 音频、视频与动效</x:v>
      </x:c>
      <x:c r="C288" s="23" t="str">
        <x:v>多媒体体验</x:v>
      </x:c>
      <x:c r="D288" s="23" t="str">
        <x:v>全局音画</x:v>
      </x:c>
      <x:c r="E288" s="21" t="str">
        <x:v>视频中断可恢复</x:v>
      </x:c>
      <x:c r="F288" s="21" t="str">
        <x:v>切后台、旋转、加载失败后进入安全节点</x:v>
      </x:c>
      <x:c r="G288" s="21" t="str">
        <x:v>生命周期/网络测试</x:v>
      </x:c>
      <x:c r="H288" s="21" t="str">
        <x:v>理解/操作</x:v>
      </x:c>
      <x:c r="I288" s="21" t="str">
        <x:v>全流程</x:v>
      </x:c>
      <x:c r="J288" s="21" t="str">
        <x:v>全平台</x:v>
      </x:c>
      <x:c r="K288" s="21" t="str"/>
      <x:c r="L288" s="29" t="str">
        <x:v>未检查</x:v>
      </x:c>
      <x:c r="M288" s="29" t="str">
        <x:v>未确认</x:v>
      </x:c>
      <x:c r="N288" s="29" t="str">
        <x:v>未确认</x:v>
      </x:c>
      <x:c r="O288" s="29" t="str"/>
      <x:c r="P288" s="29" t="str">
        <x:f>IF(OR(L288="未检查",L288="通过",L288="不适用"),"",IFERROR(VLOOKUP(M288,'口径与下拉'!$A$9:$B$14,2,FALSE),0)+IFERROR(VLOOKUP(N288,'口径与下拉'!$D$9:$E$14,2,FALSE),0)+O288)</x:f>
      </x:c>
      <x:c r="Q288" s="29" t="str"/>
      <x:c r="R288" s="29" t="str">
        <x:f>IF(P288="","",IF(P288&gt;=13,"P0",IF(P288&gt;=10,"P1",IF(P288&gt;=7,"P2","P3"))))</x:f>
      </x:c>
      <x:c r="S288" s="21" t="str"/>
      <x:c r="T288" s="21" t="str"/>
      <x:c r="U288" s="21" t="str"/>
      <x:c r="V288" s="31" t="str"/>
      <x:c r="W288" s="21" t="str"/>
      <x:c r="X288" s="21" t="str">
        <x:v>未复测</x:v>
      </x:c>
      <x:c r="Y288" s="21" t="str"/>
    </x:row>
    <x:row r="289" ht="52" customHeight="1">
      <x:c r="A289" s="27" t="str">
        <x:v>UX-285</x:v>
      </x:c>
      <x:c r="B289" s="23" t="str">
        <x:v>21 音频、视频与动效</x:v>
      </x:c>
      <x:c r="C289" s="23" t="str">
        <x:v>多媒体体验</x:v>
      </x:c>
      <x:c r="D289" s="23" t="str">
        <x:v>全局音画</x:v>
      </x:c>
      <x:c r="E289" s="21" t="str">
        <x:v>动效强化因果关系</x:v>
      </x:c>
      <x:c r="F289" s="21" t="str">
        <x:v>合并、修缮、解锁、蜕变的动效指向变化对象，不只装饰</x:v>
      </x:c>
      <x:c r="G289" s="21" t="str">
        <x:v>慢放录屏分析</x:v>
      </x:c>
      <x:c r="H289" s="21" t="str">
        <x:v>理解/操作</x:v>
      </x:c>
      <x:c r="I289" s="21" t="str">
        <x:v>全流程</x:v>
      </x:c>
      <x:c r="J289" s="21" t="str">
        <x:v>全平台</x:v>
      </x:c>
      <x:c r="K289" s="21" t="str"/>
      <x:c r="L289" s="29" t="str">
        <x:v>未检查</x:v>
      </x:c>
      <x:c r="M289" s="29" t="str">
        <x:v>未确认</x:v>
      </x:c>
      <x:c r="N289" s="29" t="str">
        <x:v>未确认</x:v>
      </x:c>
      <x:c r="O289" s="29" t="str"/>
      <x:c r="P289" s="29" t="str">
        <x:f>IF(OR(L289="未检查",L289="通过",L289="不适用"),"",IFERROR(VLOOKUP(M289,'口径与下拉'!$A$9:$B$14,2,FALSE),0)+IFERROR(VLOOKUP(N289,'口径与下拉'!$D$9:$E$14,2,FALSE),0)+O289)</x:f>
      </x:c>
      <x:c r="Q289" s="29" t="str"/>
      <x:c r="R289" s="29" t="str">
        <x:f>IF(P289="","",IF(P289&gt;=13,"P0",IF(P289&gt;=10,"P1",IF(P289&gt;=7,"P2","P3"))))</x:f>
      </x:c>
      <x:c r="S289" s="21" t="str"/>
      <x:c r="T289" s="21" t="str"/>
      <x:c r="U289" s="21" t="str"/>
      <x:c r="V289" s="31" t="str"/>
      <x:c r="W289" s="21" t="str"/>
      <x:c r="X289" s="21" t="str">
        <x:v>未复测</x:v>
      </x:c>
      <x:c r="Y289" s="21" t="str"/>
    </x:row>
    <x:row r="290" ht="52" customHeight="1">
      <x:c r="A290" s="27" t="str">
        <x:v>UX-286</x:v>
      </x:c>
      <x:c r="B290" s="23" t="str">
        <x:v>21 音频、视频与动效</x:v>
      </x:c>
      <x:c r="C290" s="23" t="str">
        <x:v>多媒体体验</x:v>
      </x:c>
      <x:c r="D290" s="23" t="str">
        <x:v>全局音画</x:v>
      </x:c>
      <x:c r="E290" s="21" t="str">
        <x:v>动效时长匹配频率</x:v>
      </x:c>
      <x:c r="F290" s="21" t="str">
        <x:v>高频动作短促，里程碑可更完整；不反复阻断操作</x:v>
      </x:c>
      <x:c r="G290" s="21" t="str">
        <x:v>动作频率×时长审查</x:v>
      </x:c>
      <x:c r="H290" s="21" t="str">
        <x:v>理解/操作</x:v>
      </x:c>
      <x:c r="I290" s="21" t="str">
        <x:v>全流程</x:v>
      </x:c>
      <x:c r="J290" s="21" t="str">
        <x:v>全平台</x:v>
      </x:c>
      <x:c r="K290" s="21" t="str"/>
      <x:c r="L290" s="29" t="str">
        <x:v>未检查</x:v>
      </x:c>
      <x:c r="M290" s="29" t="str">
        <x:v>未确认</x:v>
      </x:c>
      <x:c r="N290" s="29" t="str">
        <x:v>未确认</x:v>
      </x:c>
      <x:c r="O290" s="29" t="str"/>
      <x:c r="P290" s="29" t="str">
        <x:f>IF(OR(L290="未检查",L290="通过",L290="不适用"),"",IFERROR(VLOOKUP(M290,'口径与下拉'!$A$9:$B$14,2,FALSE),0)+IFERROR(VLOOKUP(N290,'口径与下拉'!$D$9:$E$14,2,FALSE),0)+O290)</x:f>
      </x:c>
      <x:c r="Q290" s="29" t="str"/>
      <x:c r="R290" s="29" t="str">
        <x:f>IF(P290="","",IF(P290&gt;=13,"P0",IF(P290&gt;=10,"P1",IF(P290&gt;=7,"P2","P3"))))</x:f>
      </x:c>
      <x:c r="S290" s="21" t="str"/>
      <x:c r="T290" s="21" t="str"/>
      <x:c r="U290" s="21" t="str"/>
      <x:c r="V290" s="31" t="str"/>
      <x:c r="W290" s="21" t="str"/>
      <x:c r="X290" s="21" t="str">
        <x:v>未复测</x:v>
      </x:c>
      <x:c r="Y290" s="21" t="str"/>
    </x:row>
    <x:row r="291" ht="52" customHeight="1">
      <x:c r="A291" s="27" t="str">
        <x:v>UX-287</x:v>
      </x:c>
      <x:c r="B291" s="23" t="str">
        <x:v>21 音频、视频与动效</x:v>
      </x:c>
      <x:c r="C291" s="23" t="str">
        <x:v>多媒体体验</x:v>
      </x:c>
      <x:c r="D291" s="23" t="str">
        <x:v>全局音画</x:v>
      </x:c>
      <x:c r="E291" s="21" t="str">
        <x:v>减少动态偏好生效</x:v>
      </x:c>
      <x:c r="F291" s="21" t="str">
        <x:v>可关闭或弱化粒子、缩放、摇晃与视差</x:v>
      </x:c>
      <x:c r="G291" s="21" t="str">
        <x:v>系统偏好测试</x:v>
      </x:c>
      <x:c r="H291" s="21" t="str">
        <x:v>理解/操作</x:v>
      </x:c>
      <x:c r="I291" s="21" t="str">
        <x:v>全流程</x:v>
      </x:c>
      <x:c r="J291" s="21" t="str">
        <x:v>全平台</x:v>
      </x:c>
      <x:c r="K291" s="21" t="str"/>
      <x:c r="L291" s="29" t="str">
        <x:v>未检查</x:v>
      </x:c>
      <x:c r="M291" s="29" t="str">
        <x:v>未确认</x:v>
      </x:c>
      <x:c r="N291" s="29" t="str">
        <x:v>未确认</x:v>
      </x:c>
      <x:c r="O291" s="29" t="str"/>
      <x:c r="P291" s="29" t="str">
        <x:f>IF(OR(L291="未检查",L291="通过",L291="不适用"),"",IFERROR(VLOOKUP(M291,'口径与下拉'!$A$9:$B$14,2,FALSE),0)+IFERROR(VLOOKUP(N291,'口径与下拉'!$D$9:$E$14,2,FALSE),0)+O291)</x:f>
      </x:c>
      <x:c r="Q291" s="29" t="str"/>
      <x:c r="R291" s="29" t="str">
        <x:f>IF(P291="","",IF(P291&gt;=13,"P0",IF(P291&gt;=10,"P1",IF(P291&gt;=7,"P2","P3"))))</x:f>
      </x:c>
      <x:c r="S291" s="21" t="str"/>
      <x:c r="T291" s="21" t="str"/>
      <x:c r="U291" s="21" t="str"/>
      <x:c r="V291" s="31" t="str"/>
      <x:c r="W291" s="21" t="str"/>
      <x:c r="X291" s="21" t="str">
        <x:v>未复测</x:v>
      </x:c>
      <x:c r="Y291" s="21" t="str"/>
    </x:row>
    <x:row r="292" ht="52" customHeight="1">
      <x:c r="A292" s="27" t="str">
        <x:v>UX-288</x:v>
      </x:c>
      <x:c r="B292" s="23" t="str">
        <x:v>21 音频、视频与动效</x:v>
      </x:c>
      <x:c r="C292" s="23" t="str">
        <x:v>多媒体体验</x:v>
      </x:c>
      <x:c r="D292" s="23" t="str">
        <x:v>全局音画</x:v>
      </x:c>
      <x:c r="E292" s="21" t="str">
        <x:v>多媒体失败不污染后续</x:v>
      </x:c>
      <x:c r="F292" s="21" t="str">
        <x:v>失败缓存可重试，后续资源仍能播放，无未处理 Promise</x:v>
      </x:c>
      <x:c r="G292" s="21" t="str">
        <x:v>故障后继续游玩</x:v>
      </x:c>
      <x:c r="H292" s="21" t="str">
        <x:v>理解/操作</x:v>
      </x:c>
      <x:c r="I292" s="21" t="str">
        <x:v>全流程</x:v>
      </x:c>
      <x:c r="J292" s="21" t="str">
        <x:v>全平台</x:v>
      </x:c>
      <x:c r="K292" s="21" t="str"/>
      <x:c r="L292" s="29" t="str">
        <x:v>未检查</x:v>
      </x:c>
      <x:c r="M292" s="29" t="str">
        <x:v>未确认</x:v>
      </x:c>
      <x:c r="N292" s="29" t="str">
        <x:v>未确认</x:v>
      </x:c>
      <x:c r="O292" s="29" t="str"/>
      <x:c r="P292" s="29" t="str">
        <x:f>IF(OR(L292="未检查",L292="通过",L292="不适用"),"",IFERROR(VLOOKUP(M292,'口径与下拉'!$A$9:$B$14,2,FALSE),0)+IFERROR(VLOOKUP(N292,'口径与下拉'!$D$9:$E$14,2,FALSE),0)+O292)</x:f>
      </x:c>
      <x:c r="Q292" s="29" t="str"/>
      <x:c r="R292" s="29" t="str">
        <x:f>IF(P292="","",IF(P292&gt;=13,"P0",IF(P292&gt;=10,"P1",IF(P292&gt;=7,"P2","P3"))))</x:f>
      </x:c>
      <x:c r="S292" s="21" t="str"/>
      <x:c r="T292" s="21" t="str"/>
      <x:c r="U292" s="21" t="str"/>
      <x:c r="V292" s="31" t="str"/>
      <x:c r="W292" s="21" t="str"/>
      <x:c r="X292" s="21" t="str">
        <x:v>未复测</x:v>
      </x:c>
      <x:c r="Y292" s="21" t="str"/>
    </x:row>
    <x:row r="293" ht="52" customHeight="1">
      <x:c r="A293" s="27" t="str">
        <x:v>UX-289</x:v>
      </x:c>
      <x:c r="B293" s="23" t="str">
        <x:v>22 隐私、统计、广告与合规</x:v>
      </x:c>
      <x:c r="C293" s="23" t="str">
        <x:v>信任边界</x:v>
      </x:c>
      <x:c r="D293" s="23" t="str">
        <x:v>设置/统计/广告</x:v>
      </x:c>
      <x:c r="E293" s="21" t="str">
        <x:v>匿名统计默认关闭</x:v>
      </x:c>
      <x:c r="F293" s="21" t="str">
        <x:v>新档/升级档默认不创建 ID、不发统计请求</x:v>
      </x:c>
      <x:c r="G293" s="21" t="str">
        <x:v>清存储后抓取网络</x:v>
      </x:c>
      <x:c r="H293" s="21" t="str">
        <x:v>隐私/信任</x:v>
      </x:c>
      <x:c r="I293" s="21" t="str">
        <x:v>全流程</x:v>
      </x:c>
      <x:c r="J293" s="21" t="str">
        <x:v>全平台</x:v>
      </x:c>
      <x:c r="K293" s="21" t="str"/>
      <x:c r="L293" s="29" t="str">
        <x:v>未检查</x:v>
      </x:c>
      <x:c r="M293" s="29" t="str">
        <x:v>未确认</x:v>
      </x:c>
      <x:c r="N293" s="29" t="str">
        <x:v>未确认</x:v>
      </x:c>
      <x:c r="O293" s="29" t="str"/>
      <x:c r="P293" s="29" t="str">
        <x:f>IF(OR(L293="未检查",L293="通过",L293="不适用"),"",IFERROR(VLOOKUP(M293,'口径与下拉'!$A$9:$B$14,2,FALSE),0)+IFERROR(VLOOKUP(N293,'口径与下拉'!$D$9:$E$14,2,FALSE),0)+O293)</x:f>
      </x:c>
      <x:c r="Q293" s="29" t="str"/>
      <x:c r="R293" s="29" t="str">
        <x:f>IF(P293="","",IF(P293&gt;=13,"P0",IF(P293&gt;=10,"P1",IF(P293&gt;=7,"P2","P3"))))</x:f>
      </x:c>
      <x:c r="S293" s="21" t="str"/>
      <x:c r="T293" s="21" t="str"/>
      <x:c r="U293" s="21" t="str"/>
      <x:c r="V293" s="31" t="str"/>
      <x:c r="W293" s="21" t="str"/>
      <x:c r="X293" s="21" t="str">
        <x:v>未复测</x:v>
      </x:c>
      <x:c r="Y293" s="21" t="str"/>
    </x:row>
    <x:row r="294" ht="52" customHeight="1">
      <x:c r="A294" s="27" t="str">
        <x:v>UX-290</x:v>
      </x:c>
      <x:c r="B294" s="23" t="str">
        <x:v>22 隐私、统计、广告与合规</x:v>
      </x:c>
      <x:c r="C294" s="23" t="str">
        <x:v>信任边界</x:v>
      </x:c>
      <x:c r="D294" s="23" t="str">
        <x:v>设置/统计/广告</x:v>
      </x:c>
      <x:c r="E294" s="21" t="str">
        <x:v>启用统计需要明确选择</x:v>
      </x:c>
      <x:c r="F294" s="21" t="str">
        <x:v>说明用途、数据范围、撤回方式和端点；不使用暗色诱导</x:v>
      </x:c>
      <x:c r="G294" s="21" t="str">
        <x:v>设置流程审查</x:v>
      </x:c>
      <x:c r="H294" s="21" t="str">
        <x:v>理解/操作</x:v>
      </x:c>
      <x:c r="I294" s="21" t="str">
        <x:v>全流程</x:v>
      </x:c>
      <x:c r="J294" s="21" t="str">
        <x:v>全平台</x:v>
      </x:c>
      <x:c r="K294" s="21" t="str"/>
      <x:c r="L294" s="29" t="str">
        <x:v>未检查</x:v>
      </x:c>
      <x:c r="M294" s="29" t="str">
        <x:v>未确认</x:v>
      </x:c>
      <x:c r="N294" s="29" t="str">
        <x:v>未确认</x:v>
      </x:c>
      <x:c r="O294" s="29" t="str"/>
      <x:c r="P294" s="29" t="str">
        <x:f>IF(OR(L294="未检查",L294="通过",L294="不适用"),"",IFERROR(VLOOKUP(M294,'口径与下拉'!$A$9:$B$14,2,FALSE),0)+IFERROR(VLOOKUP(N294,'口径与下拉'!$D$9:$E$14,2,FALSE),0)+O294)</x:f>
      </x:c>
      <x:c r="Q294" s="29" t="str"/>
      <x:c r="R294" s="29" t="str">
        <x:f>IF(P294="","",IF(P294&gt;=13,"P0",IF(P294&gt;=10,"P1",IF(P294&gt;=7,"P2","P3"))))</x:f>
      </x:c>
      <x:c r="S294" s="21" t="str"/>
      <x:c r="T294" s="21" t="str"/>
      <x:c r="U294" s="21" t="str"/>
      <x:c r="V294" s="31" t="str"/>
      <x:c r="W294" s="21" t="str"/>
      <x:c r="X294" s="21" t="str">
        <x:v>未复测</x:v>
      </x:c>
      <x:c r="Y294" s="21" t="str"/>
    </x:row>
    <x:row r="295" ht="52" customHeight="1">
      <x:c r="A295" s="27" t="str">
        <x:v>UX-291</x:v>
      </x:c>
      <x:c r="B295" s="23" t="str">
        <x:v>22 隐私、统计、广告与合规</x:v>
      </x:c>
      <x:c r="C295" s="23" t="str">
        <x:v>信任边界</x:v>
      </x:c>
      <x:c r="D295" s="23" t="str">
        <x:v>设置/统计/广告</x:v>
      </x:c>
      <x:c r="E295" s="21" t="str">
        <x:v>仅配置同源 endpoint 才发送</x:v>
      </x:c>
      <x:c r="F295" s="21" t="str">
        <x:v>未配置、跨域异常或关闭状态均不发送</x:v>
      </x:c>
      <x:c r="G295" s="21" t="str">
        <x:v>配置矩阵测试</x:v>
      </x:c>
      <x:c r="H295" s="21" t="str">
        <x:v>理解/操作</x:v>
      </x:c>
      <x:c r="I295" s="21" t="str">
        <x:v>全流程</x:v>
      </x:c>
      <x:c r="J295" s="21" t="str">
        <x:v>全平台</x:v>
      </x:c>
      <x:c r="K295" s="21" t="str"/>
      <x:c r="L295" s="29" t="str">
        <x:v>未检查</x:v>
      </x:c>
      <x:c r="M295" s="29" t="str">
        <x:v>未确认</x:v>
      </x:c>
      <x:c r="N295" s="29" t="str">
        <x:v>未确认</x:v>
      </x:c>
      <x:c r="O295" s="29" t="str"/>
      <x:c r="P295" s="29" t="str">
        <x:f>IF(OR(L295="未检查",L295="通过",L295="不适用"),"",IFERROR(VLOOKUP(M295,'口径与下拉'!$A$9:$B$14,2,FALSE),0)+IFERROR(VLOOKUP(N295,'口径与下拉'!$D$9:$E$14,2,FALSE),0)+O295)</x:f>
      </x:c>
      <x:c r="Q295" s="29" t="str"/>
      <x:c r="R295" s="29" t="str">
        <x:f>IF(P295="","",IF(P295&gt;=13,"P0",IF(P295&gt;=10,"P1",IF(P295&gt;=7,"P2","P3"))))</x:f>
      </x:c>
      <x:c r="S295" s="21" t="str"/>
      <x:c r="T295" s="21" t="str"/>
      <x:c r="U295" s="21" t="str"/>
      <x:c r="V295" s="31" t="str"/>
      <x:c r="W295" s="21" t="str"/>
      <x:c r="X295" s="21" t="str">
        <x:v>未复测</x:v>
      </x:c>
      <x:c r="Y295" s="21" t="str"/>
    </x:row>
    <x:row r="296" ht="52" customHeight="1">
      <x:c r="A296" s="27" t="str">
        <x:v>UX-292</x:v>
      </x:c>
      <x:c r="B296" s="23" t="str">
        <x:v>22 隐私、统计、广告与合规</x:v>
      </x:c>
      <x:c r="C296" s="23" t="str">
        <x:v>信任边界</x:v>
      </x:c>
      <x:c r="D296" s="23" t="str">
        <x:v>设置/统计/广告</x:v>
      </x:c>
      <x:c r="E296" s="21" t="str">
        <x:v>安装/会话 ID 仅启用后创建</x:v>
      </x:c>
      <x:c r="F296" s="21" t="str">
        <x:v>关闭后可重置，不与存档内容拼接形成指纹</x:v>
      </x:c>
      <x:c r="G296" s="21" t="str">
        <x:v>存储前后对比</x:v>
      </x:c>
      <x:c r="H296" s="21" t="str">
        <x:v>理解/操作</x:v>
      </x:c>
      <x:c r="I296" s="21" t="str">
        <x:v>全流程</x:v>
      </x:c>
      <x:c r="J296" s="21" t="str">
        <x:v>全平台</x:v>
      </x:c>
      <x:c r="K296" s="21" t="str"/>
      <x:c r="L296" s="29" t="str">
        <x:v>未检查</x:v>
      </x:c>
      <x:c r="M296" s="29" t="str">
        <x:v>未确认</x:v>
      </x:c>
      <x:c r="N296" s="29" t="str">
        <x:v>未确认</x:v>
      </x:c>
      <x:c r="O296" s="29" t="str"/>
      <x:c r="P296" s="29" t="str">
        <x:f>IF(OR(L296="未检查",L296="通过",L296="不适用"),"",IFERROR(VLOOKUP(M296,'口径与下拉'!$A$9:$B$14,2,FALSE),0)+IFERROR(VLOOKUP(N296,'口径与下拉'!$D$9:$E$14,2,FALSE),0)+O296)</x:f>
      </x:c>
      <x:c r="Q296" s="29" t="str"/>
      <x:c r="R296" s="29" t="str">
        <x:f>IF(P296="","",IF(P296&gt;=13,"P0",IF(P296&gt;=10,"P1",IF(P296&gt;=7,"P2","P3"))))</x:f>
      </x:c>
      <x:c r="S296" s="21" t="str"/>
      <x:c r="T296" s="21" t="str"/>
      <x:c r="U296" s="21" t="str"/>
      <x:c r="V296" s="31" t="str"/>
      <x:c r="W296" s="21" t="str"/>
      <x:c r="X296" s="21" t="str">
        <x:v>未复测</x:v>
      </x:c>
      <x:c r="Y296" s="21" t="str"/>
    </x:row>
    <x:row r="297" ht="52" customHeight="1">
      <x:c r="A297" s="27" t="str">
        <x:v>UX-293</x:v>
      </x:c>
      <x:c r="B297" s="23" t="str">
        <x:v>22 隐私、统计、广告与合规</x:v>
      </x:c>
      <x:c r="C297" s="23" t="str">
        <x:v>信任边界</x:v>
      </x:c>
      <x:c r="D297" s="23" t="str">
        <x:v>设置/统计/广告</x:v>
      </x:c>
      <x:c r="E297" s="21" t="str">
        <x:v>不上报完整存档与自由文本</x:v>
      </x:c>
      <x:c r="F297" s="21" t="str">
        <x:v>事件载荷字段白名单化，不含设备指纹、Cookie、密钥</x:v>
      </x:c>
      <x:c r="G297" s="21" t="str">
        <x:v>请求体与代码审查</x:v>
      </x:c>
      <x:c r="H297" s="21" t="str">
        <x:v>理解/操作</x:v>
      </x:c>
      <x:c r="I297" s="21" t="str">
        <x:v>全流程</x:v>
      </x:c>
      <x:c r="J297" s="21" t="str">
        <x:v>全平台</x:v>
      </x:c>
      <x:c r="K297" s="21" t="str"/>
      <x:c r="L297" s="29" t="str">
        <x:v>未检查</x:v>
      </x:c>
      <x:c r="M297" s="29" t="str">
        <x:v>未确认</x:v>
      </x:c>
      <x:c r="N297" s="29" t="str">
        <x:v>未确认</x:v>
      </x:c>
      <x:c r="O297" s="29" t="str"/>
      <x:c r="P297" s="29" t="str">
        <x:f>IF(OR(L297="未检查",L297="通过",L297="不适用"),"",IFERROR(VLOOKUP(M297,'口径与下拉'!$A$9:$B$14,2,FALSE),0)+IFERROR(VLOOKUP(N297,'口径与下拉'!$D$9:$E$14,2,FALSE),0)+O297)</x:f>
      </x:c>
      <x:c r="Q297" s="29" t="str"/>
      <x:c r="R297" s="29" t="str">
        <x:f>IF(P297="","",IF(P297&gt;=13,"P0",IF(P297&gt;=10,"P1",IF(P297&gt;=7,"P2","P3"))))</x:f>
      </x:c>
      <x:c r="S297" s="21" t="str"/>
      <x:c r="T297" s="21" t="str"/>
      <x:c r="U297" s="21" t="str"/>
      <x:c r="V297" s="31" t="str"/>
      <x:c r="W297" s="21" t="str"/>
      <x:c r="X297" s="21" t="str">
        <x:v>未复测</x:v>
      </x:c>
      <x:c r="Y297" s="21" t="str"/>
    </x:row>
    <x:row r="298" ht="52" customHeight="1">
      <x:c r="A298" s="27" t="str">
        <x:v>UX-294</x:v>
      </x:c>
      <x:c r="B298" s="23" t="str">
        <x:v>22 隐私、统计、广告与合规</x:v>
      </x:c>
      <x:c r="C298" s="23" t="str">
        <x:v>信任边界</x:v>
      </x:c>
      <x:c r="D298" s="23" t="str">
        <x:v>设置/统计/广告</x:v>
      </x:c>
      <x:c r="E298" s="21" t="str">
        <x:v>批量上报失败安全退避</x:v>
      </x:c>
      <x:c r="F298" s="21" t="str">
        <x:v>不阻塞玩法、不无限重试、不导致存储膨胀</x:v>
      </x:c>
      <x:c r="G298" s="21" t="str">
        <x:v>端点故障测试</x:v>
      </x:c>
      <x:c r="H298" s="21" t="str">
        <x:v>理解/操作</x:v>
      </x:c>
      <x:c r="I298" s="21" t="str">
        <x:v>全流程</x:v>
      </x:c>
      <x:c r="J298" s="21" t="str">
        <x:v>全平台</x:v>
      </x:c>
      <x:c r="K298" s="21" t="str"/>
      <x:c r="L298" s="29" t="str">
        <x:v>未检查</x:v>
      </x:c>
      <x:c r="M298" s="29" t="str">
        <x:v>未确认</x:v>
      </x:c>
      <x:c r="N298" s="29" t="str">
        <x:v>未确认</x:v>
      </x:c>
      <x:c r="O298" s="29" t="str"/>
      <x:c r="P298" s="29" t="str">
        <x:f>IF(OR(L298="未检查",L298="通过",L298="不适用"),"",IFERROR(VLOOKUP(M298,'口径与下拉'!$A$9:$B$14,2,FALSE),0)+IFERROR(VLOOKUP(N298,'口径与下拉'!$D$9:$E$14,2,FALSE),0)+O298)</x:f>
      </x:c>
      <x:c r="Q298" s="29" t="str"/>
      <x:c r="R298" s="29" t="str">
        <x:f>IF(P298="","",IF(P298&gt;=13,"P0",IF(P298&gt;=10,"P1",IF(P298&gt;=7,"P2","P3"))))</x:f>
      </x:c>
      <x:c r="S298" s="21" t="str"/>
      <x:c r="T298" s="21" t="str"/>
      <x:c r="U298" s="21" t="str"/>
      <x:c r="V298" s="31" t="str"/>
      <x:c r="W298" s="21" t="str"/>
      <x:c r="X298" s="21" t="str">
        <x:v>未复测</x:v>
      </x:c>
      <x:c r="Y298" s="21" t="str"/>
    </x:row>
    <x:row r="299" ht="52" customHeight="1">
      <x:c r="A299" s="27" t="str">
        <x:v>UX-295</x:v>
      </x:c>
      <x:c r="B299" s="23" t="str">
        <x:v>22 隐私、统计、广告与合规</x:v>
      </x:c>
      <x:c r="C299" s="23" t="str">
        <x:v>信任边界</x:v>
      </x:c>
      <x:c r="D299" s="23" t="str">
        <x:v>设置/统计/广告</x:v>
      </x:c>
      <x:c r="E299" s="21" t="str">
        <x:v>隐私说明与实际行为一致</x:v>
      </x:c>
      <x:c r="F299" s="21" t="str">
        <x:v>玩家可读文案覆盖本地存档、统计、重置和联网边界</x:v>
      </x:c>
      <x:c r="G299" s="21" t="str">
        <x:v>文案×抓包对照</x:v>
      </x:c>
      <x:c r="H299" s="21" t="str">
        <x:v>理解/操作</x:v>
      </x:c>
      <x:c r="I299" s="21" t="str">
        <x:v>全流程</x:v>
      </x:c>
      <x:c r="J299" s="21" t="str">
        <x:v>全平台</x:v>
      </x:c>
      <x:c r="K299" s="21" t="str"/>
      <x:c r="L299" s="29" t="str">
        <x:v>未检查</x:v>
      </x:c>
      <x:c r="M299" s="29" t="str">
        <x:v>未确认</x:v>
      </x:c>
      <x:c r="N299" s="29" t="str">
        <x:v>未确认</x:v>
      </x:c>
      <x:c r="O299" s="29" t="str"/>
      <x:c r="P299" s="29" t="str">
        <x:f>IF(OR(L299="未检查",L299="通过",L299="不适用"),"",IFERROR(VLOOKUP(M299,'口径与下拉'!$A$9:$B$14,2,FALSE),0)+IFERROR(VLOOKUP(N299,'口径与下拉'!$D$9:$E$14,2,FALSE),0)+O299)</x:f>
      </x:c>
      <x:c r="Q299" s="29" t="str"/>
      <x:c r="R299" s="29" t="str">
        <x:f>IF(P299="","",IF(P299&gt;=13,"P0",IF(P299&gt;=10,"P1",IF(P299&gt;=7,"P2","P3"))))</x:f>
      </x:c>
      <x:c r="S299" s="21" t="str"/>
      <x:c r="T299" s="21" t="str"/>
      <x:c r="U299" s="21" t="str"/>
      <x:c r="V299" s="31" t="str"/>
      <x:c r="W299" s="21" t="str"/>
      <x:c r="X299" s="21" t="str">
        <x:v>未复测</x:v>
      </x:c>
      <x:c r="Y299" s="21" t="str"/>
    </x:row>
    <x:row r="300" ht="52" customHeight="1">
      <x:c r="A300" s="27" t="str">
        <x:v>UX-296</x:v>
      </x:c>
      <x:c r="B300" s="23" t="str">
        <x:v>22 隐私、统计、广告与合规</x:v>
      </x:c>
      <x:c r="C300" s="23" t="str">
        <x:v>信任边界</x:v>
      </x:c>
      <x:c r="D300" s="23" t="str">
        <x:v>设置/统计/广告</x:v>
      </x:c>
      <x:c r="E300" s="21" t="str">
        <x:v>首发激励广告默认关闭</x:v>
      </x:c>
      <x:c r="F300" s="21" t="str">
        <x:v>运行时不触碰广告 SDK/provider，不出现空广告入口</x:v>
      </x:c>
      <x:c r="G300" s="21" t="str">
        <x:v>抓包/全局对象/界面检查</x:v>
      </x:c>
      <x:c r="H300" s="21" t="str">
        <x:v>信任/品质</x:v>
      </x:c>
      <x:c r="I300" s="21" t="str">
        <x:v>全流程</x:v>
      </x:c>
      <x:c r="J300" s="21" t="str">
        <x:v>全平台</x:v>
      </x:c>
      <x:c r="K300" s="21" t="str"/>
      <x:c r="L300" s="29" t="str">
        <x:v>未检查</x:v>
      </x:c>
      <x:c r="M300" s="29" t="str">
        <x:v>未确认</x:v>
      </x:c>
      <x:c r="N300" s="29" t="str">
        <x:v>未确认</x:v>
      </x:c>
      <x:c r="O300" s="29" t="str"/>
      <x:c r="P300" s="29" t="str">
        <x:f>IF(OR(L300="未检查",L300="通过",L300="不适用"),"",IFERROR(VLOOKUP(M300,'口径与下拉'!$A$9:$B$14,2,FALSE),0)+IFERROR(VLOOKUP(N300,'口径与下拉'!$D$9:$E$14,2,FALSE),0)+O300)</x:f>
      </x:c>
      <x:c r="Q300" s="29" t="str"/>
      <x:c r="R300" s="29" t="str">
        <x:f>IF(P300="","",IF(P300&gt;=13,"P0",IF(P300&gt;=10,"P1",IF(P300&gt;=7,"P2","P3"))))</x:f>
      </x:c>
      <x:c r="S300" s="21" t="str"/>
      <x:c r="T300" s="21" t="str"/>
      <x:c r="U300" s="21" t="str"/>
      <x:c r="V300" s="31" t="str"/>
      <x:c r="W300" s="21" t="str"/>
      <x:c r="X300" s="21" t="str">
        <x:v>未复测</x:v>
      </x:c>
      <x:c r="Y300" s="21" t="str"/>
    </x:row>
    <x:row r="301" ht="52" customHeight="1">
      <x:c r="A301" s="27" t="str">
        <x:v>UX-297</x:v>
      </x:c>
      <x:c r="B301" s="23" t="str">
        <x:v>22 隐私、统计、广告与合规</x:v>
      </x:c>
      <x:c r="C301" s="23" t="str">
        <x:v>信任边界</x:v>
      </x:c>
      <x:c r="D301" s="23" t="str">
        <x:v>设置/统计/广告</x:v>
      </x:c>
      <x:c r="E301" s="21" t="str">
        <x:v>启用广告后奖励 receipt 幂等</x:v>
      </x:c>
      <x:c r="F301" s="21" t="str">
        <x:v>同一回执只发一次；重复回调/刷新不重复</x:v>
      </x:c>
      <x:c r="G301" s="21" t="str">
        <x:v>模拟 provider 回调</x:v>
      </x:c>
      <x:c r="H301" s="21" t="str">
        <x:v>经济/信任</x:v>
      </x:c>
      <x:c r="I301" s="21" t="str">
        <x:v>全流程</x:v>
      </x:c>
      <x:c r="J301" s="21" t="str">
        <x:v>全平台</x:v>
      </x:c>
      <x:c r="K301" s="21" t="str"/>
      <x:c r="L301" s="29" t="str">
        <x:v>未检查</x:v>
      </x:c>
      <x:c r="M301" s="29" t="str">
        <x:v>未确认</x:v>
      </x:c>
      <x:c r="N301" s="29" t="str">
        <x:v>未确认</x:v>
      </x:c>
      <x:c r="O301" s="29" t="str"/>
      <x:c r="P301" s="29" t="str">
        <x:f>IF(OR(L301="未检查",L301="通过",L301="不适用"),"",IFERROR(VLOOKUP(M301,'口径与下拉'!$A$9:$B$14,2,FALSE),0)+IFERROR(VLOOKUP(N301,'口径与下拉'!$D$9:$E$14,2,FALSE),0)+O301)</x:f>
      </x:c>
      <x:c r="Q301" s="29" t="str"/>
      <x:c r="R301" s="29" t="str">
        <x:f>IF(P301="","",IF(P301&gt;=13,"P0",IF(P301&gt;=10,"P1",IF(P301&gt;=7,"P2","P3"))))</x:f>
      </x:c>
      <x:c r="S301" s="21" t="str"/>
      <x:c r="T301" s="21" t="str"/>
      <x:c r="U301" s="21" t="str"/>
      <x:c r="V301" s="31" t="str"/>
      <x:c r="W301" s="21" t="str"/>
      <x:c r="X301" s="21" t="str">
        <x:v>未复测</x:v>
      </x:c>
      <x:c r="Y301" s="21" t="str"/>
    </x:row>
    <x:row r="302" ht="52" customHeight="1">
      <x:c r="A302" s="27" t="str">
        <x:v>UX-298</x:v>
      </x:c>
      <x:c r="B302" s="23" t="str">
        <x:v>22 隐私、统计、广告与合规</x:v>
      </x:c>
      <x:c r="C302" s="23" t="str">
        <x:v>信任边界</x:v>
      </x:c>
      <x:c r="D302" s="23" t="str">
        <x:v>设置/统计/广告</x:v>
      </x:c>
      <x:c r="E302" s="21" t="str">
        <x:v>关闭、失败、跳过不发奖励</x:v>
      </x:c>
      <x:c r="F302" s="21" t="str">
        <x:v>状态和文案一致，不出现先发后收或假完成</x:v>
      </x:c>
      <x:c r="G302" s="21" t="str">
        <x:v>广告异常矩阵</x:v>
      </x:c>
      <x:c r="H302" s="21" t="str">
        <x:v>理解/操作</x:v>
      </x:c>
      <x:c r="I302" s="21" t="str">
        <x:v>全流程</x:v>
      </x:c>
      <x:c r="J302" s="21" t="str">
        <x:v>全平台</x:v>
      </x:c>
      <x:c r="K302" s="21" t="str"/>
      <x:c r="L302" s="29" t="str">
        <x:v>未检查</x:v>
      </x:c>
      <x:c r="M302" s="29" t="str">
        <x:v>未确认</x:v>
      </x:c>
      <x:c r="N302" s="29" t="str">
        <x:v>未确认</x:v>
      </x:c>
      <x:c r="O302" s="29" t="str"/>
      <x:c r="P302" s="29" t="str">
        <x:f>IF(OR(L302="未检查",L302="通过",L302="不适用"),"",IFERROR(VLOOKUP(M302,'口径与下拉'!$A$9:$B$14,2,FALSE),0)+IFERROR(VLOOKUP(N302,'口径与下拉'!$D$9:$E$14,2,FALSE),0)+O302)</x:f>
      </x:c>
      <x:c r="Q302" s="29" t="str"/>
      <x:c r="R302" s="29" t="str">
        <x:f>IF(P302="","",IF(P302&gt;=13,"P0",IF(P302&gt;=10,"P1",IF(P302&gt;=7,"P2","P3"))))</x:f>
      </x:c>
      <x:c r="S302" s="21" t="str"/>
      <x:c r="T302" s="21" t="str"/>
      <x:c r="U302" s="21" t="str"/>
      <x:c r="V302" s="31" t="str"/>
      <x:c r="W302" s="21" t="str"/>
      <x:c r="X302" s="21" t="str">
        <x:v>未复测</x:v>
      </x:c>
      <x:c r="Y302" s="21" t="str"/>
    </x:row>
    <x:row r="303" ht="52" customHeight="1">
      <x:c r="A303" s="27" t="str">
        <x:v>UX-299</x:v>
      </x:c>
      <x:c r="B303" s="23" t="str">
        <x:v>22 隐私、统计、广告与合规</x:v>
      </x:c>
      <x:c r="C303" s="23" t="str">
        <x:v>信任边界</x:v>
      </x:c>
      <x:c r="D303" s="23" t="str">
        <x:v>设置/统计/广告</x:v>
      </x:c>
      <x:c r="E303" s="21" t="str">
        <x:v>广告不破坏治愈节奏</x:v>
      </x:c>
      <x:c r="F303" s="21" t="str">
        <x:v>不在剧情高潮、蜕变、误触位置强插；奖励选择透明</x:v>
      </x:c>
      <x:c r="G303" s="21" t="str">
        <x:v>插入点与频率审查</x:v>
      </x:c>
      <x:c r="H303" s="21" t="str">
        <x:v>情绪/品牌</x:v>
      </x:c>
      <x:c r="I303" s="21" t="str">
        <x:v>全流程</x:v>
      </x:c>
      <x:c r="J303" s="21" t="str">
        <x:v>全平台</x:v>
      </x:c>
      <x:c r="K303" s="21" t="str"/>
      <x:c r="L303" s="29" t="str">
        <x:v>未检查</x:v>
      </x:c>
      <x:c r="M303" s="29" t="str">
        <x:v>未确认</x:v>
      </x:c>
      <x:c r="N303" s="29" t="str">
        <x:v>未确认</x:v>
      </x:c>
      <x:c r="O303" s="29" t="str"/>
      <x:c r="P303" s="29" t="str">
        <x:f>IF(OR(L303="未检查",L303="通过",L303="不适用"),"",IFERROR(VLOOKUP(M303,'口径与下拉'!$A$9:$B$14,2,FALSE),0)+IFERROR(VLOOKUP(N303,'口径与下拉'!$D$9:$E$14,2,FALSE),0)+O303)</x:f>
      </x:c>
      <x:c r="Q303" s="29" t="str"/>
      <x:c r="R303" s="29" t="str">
        <x:f>IF(P303="","",IF(P303&gt;=13,"P0",IF(P303&gt;=10,"P1",IF(P303&gt;=7,"P2","P3"))))</x:f>
      </x:c>
      <x:c r="S303" s="21" t="str"/>
      <x:c r="T303" s="21" t="str"/>
      <x:c r="U303" s="21" t="str"/>
      <x:c r="V303" s="31" t="str"/>
      <x:c r="W303" s="21" t="str"/>
      <x:c r="X303" s="21" t="str">
        <x:v>未复测</x:v>
      </x:c>
      <x:c r="Y303" s="21" t="str"/>
    </x:row>
    <x:row r="304" ht="52" customHeight="1">
      <x:c r="A304" s="27" t="str">
        <x:v>UX-300</x:v>
      </x:c>
      <x:c r="B304" s="23" t="str">
        <x:v>22 隐私、统计、广告与合规</x:v>
      </x:c>
      <x:c r="C304" s="23" t="str">
        <x:v>信任边界</x:v>
      </x:c>
      <x:c r="D304" s="23" t="str">
        <x:v>设置/统计/广告</x:v>
      </x:c>
      <x:c r="E304" s="21" t="str">
        <x:v>未成年人和内容分级适配</x:v>
      </x:c>
      <x:c r="F304" s="21" t="str">
        <x:v>付费/广告/隐私/时长提示满足目标发行平台要求</x:v>
      </x:c>
      <x:c r="G304" s="21" t="str">
        <x:v>当前平台政策清单复核</x:v>
      </x:c>
      <x:c r="H304" s="21" t="str">
        <x:v>合规/信任</x:v>
      </x:c>
      <x:c r="I304" s="21" t="str">
        <x:v>全流程</x:v>
      </x:c>
      <x:c r="J304" s="21" t="str">
        <x:v>全平台</x:v>
      </x:c>
      <x:c r="K304" s="21" t="str"/>
      <x:c r="L304" s="29" t="str">
        <x:v>未检查</x:v>
      </x:c>
      <x:c r="M304" s="29" t="str">
        <x:v>未确认</x:v>
      </x:c>
      <x:c r="N304" s="29" t="str">
        <x:v>未确认</x:v>
      </x:c>
      <x:c r="O304" s="29" t="str"/>
      <x:c r="P304" s="29" t="str">
        <x:f>IF(OR(L304="未检查",L304="通过",L304="不适用"),"",IFERROR(VLOOKUP(M304,'口径与下拉'!$A$9:$B$14,2,FALSE),0)+IFERROR(VLOOKUP(N304,'口径与下拉'!$D$9:$E$14,2,FALSE),0)+O304)</x:f>
      </x:c>
      <x:c r="Q304" s="29" t="str"/>
      <x:c r="R304" s="29" t="str">
        <x:f>IF(P304="","",IF(P304&gt;=13,"P0",IF(P304&gt;=10,"P1",IF(P304&gt;=7,"P2","P3"))))</x:f>
      </x:c>
      <x:c r="S304" s="21" t="str"/>
      <x:c r="T304" s="21" t="str"/>
      <x:c r="U304" s="21" t="str"/>
      <x:c r="V304" s="31" t="str"/>
      <x:c r="W304" s="21" t="str"/>
      <x:c r="X304" s="21" t="str">
        <x:v>未复测</x:v>
      </x:c>
      <x:c r="Y304" s="21" t="str"/>
    </x:row>
    <x:row r="305" ht="52" customHeight="1">
      <x:c r="A305" s="27" t="str">
        <x:v>UX-301</x:v>
      </x:c>
      <x:c r="B305" s="23" t="str">
        <x:v>22 隐私、统计、广告与合规</x:v>
      </x:c>
      <x:c r="C305" s="23" t="str">
        <x:v>信任边界</x:v>
      </x:c>
      <x:c r="D305" s="23" t="str">
        <x:v>设置/统计/广告</x:v>
      </x:c>
      <x:c r="E305" s="21" t="str">
        <x:v>外部链接与权限最小化</x:v>
      </x:c>
      <x:c r="F305" s="21" t="str">
        <x:v>只请求必要能力，跳转前说明目的且可返回</x:v>
      </x:c>
      <x:c r="G305" s="21" t="str">
        <x:v>权限与链接巡检</x:v>
      </x:c>
      <x:c r="H305" s="21" t="str">
        <x:v>理解/操作</x:v>
      </x:c>
      <x:c r="I305" s="21" t="str">
        <x:v>全流程</x:v>
      </x:c>
      <x:c r="J305" s="21" t="str">
        <x:v>全平台</x:v>
      </x:c>
      <x:c r="K305" s="21" t="str"/>
      <x:c r="L305" s="29" t="str">
        <x:v>未检查</x:v>
      </x:c>
      <x:c r="M305" s="29" t="str">
        <x:v>未确认</x:v>
      </x:c>
      <x:c r="N305" s="29" t="str">
        <x:v>未确认</x:v>
      </x:c>
      <x:c r="O305" s="29" t="str"/>
      <x:c r="P305" s="29" t="str">
        <x:f>IF(OR(L305="未检查",L305="通过",L305="不适用"),"",IFERROR(VLOOKUP(M305,'口径与下拉'!$A$9:$B$14,2,FALSE),0)+IFERROR(VLOOKUP(N305,'口径与下拉'!$D$9:$E$14,2,FALSE),0)+O305)</x:f>
      </x:c>
      <x:c r="Q305" s="29" t="str"/>
      <x:c r="R305" s="29" t="str">
        <x:f>IF(P305="","",IF(P305&gt;=13,"P0",IF(P305&gt;=10,"P1",IF(P305&gt;=7,"P2","P3"))))</x:f>
      </x:c>
      <x:c r="S305" s="21" t="str"/>
      <x:c r="T305" s="21" t="str"/>
      <x:c r="U305" s="21" t="str"/>
      <x:c r="V305" s="31" t="str"/>
      <x:c r="W305" s="21" t="str"/>
      <x:c r="X305" s="21" t="str">
        <x:v>未复测</x:v>
      </x:c>
      <x:c r="Y305" s="21" t="str"/>
    </x:row>
    <x:row r="306" ht="52" customHeight="1">
      <x:c r="A306" s="27" t="str">
        <x:v>UX-302</x:v>
      </x:c>
      <x:c r="B306" s="23" t="str">
        <x:v>22 隐私、统计、广告与合规</x:v>
      </x:c>
      <x:c r="C306" s="23" t="str">
        <x:v>信任边界</x:v>
      </x:c>
      <x:c r="D306" s="23" t="str">
        <x:v>设置/统计/广告</x:v>
      </x:c>
      <x:c r="E306" s="21" t="str">
        <x:v>敏感信息不进入日志和截图</x:v>
      </x:c>
      <x:c r="F306" s="21" t="str">
        <x:v>错误、分析、导出和支持材料自动脱敏</x:v>
      </x:c>
      <x:c r="G306" s="21" t="str">
        <x:v>日志/导出审查</x:v>
      </x:c>
      <x:c r="H306" s="21" t="str">
        <x:v>隐私/安全</x:v>
      </x:c>
      <x:c r="I306" s="21" t="str">
        <x:v>全流程</x:v>
      </x:c>
      <x:c r="J306" s="21" t="str">
        <x:v>全平台</x:v>
      </x:c>
      <x:c r="K306" s="21" t="str"/>
      <x:c r="L306" s="29" t="str">
        <x:v>未检查</x:v>
      </x:c>
      <x:c r="M306" s="29" t="str">
        <x:v>未确认</x:v>
      </x:c>
      <x:c r="N306" s="29" t="str">
        <x:v>未确认</x:v>
      </x:c>
      <x:c r="O306" s="29" t="str"/>
      <x:c r="P306" s="29" t="str">
        <x:f>IF(OR(L306="未检查",L306="通过",L306="不适用"),"",IFERROR(VLOOKUP(M306,'口径与下拉'!$A$9:$B$14,2,FALSE),0)+IFERROR(VLOOKUP(N306,'口径与下拉'!$D$9:$E$14,2,FALSE),0)+O306)</x:f>
      </x:c>
      <x:c r="Q306" s="29" t="str"/>
      <x:c r="R306" s="29" t="str">
        <x:f>IF(P306="","",IF(P306&gt;=13,"P0",IF(P306&gt;=10,"P1",IF(P306&gt;=7,"P2","P3"))))</x:f>
      </x:c>
      <x:c r="S306" s="21" t="str"/>
      <x:c r="T306" s="21" t="str"/>
      <x:c r="U306" s="21" t="str"/>
      <x:c r="V306" s="31" t="str"/>
      <x:c r="W306" s="21" t="str"/>
      <x:c r="X306" s="21" t="str">
        <x:v>未复测</x:v>
      </x:c>
      <x:c r="Y306" s="21" t="str"/>
    </x:row>
    <x:row r="307" ht="52" customHeight="1">
      <x:c r="A307" s="27" t="str">
        <x:v>UX-303</x:v>
      </x:c>
      <x:c r="B307" s="23" t="str">
        <x:v>23 版本、发布与运行一致性</x:v>
      </x:c>
      <x:c r="C307" s="23" t="str">
        <x:v>交付质量</x:v>
      </x:c>
      <x:c r="D307" s="23" t="str">
        <x:v>source/dist/TapTap 包</x:v>
      </x:c>
      <x:c r="E307" s="21" t="str">
        <x:v>正式入口唯一且文档一致</x:v>
      </x:c>
      <x:c r="F307" s="21" t="str">
        <x:v>源验收使用 prototype/merge_slice.html，部署使用 dist/index.html</x:v>
      </x:c>
      <x:c r="G307" s="21" t="str">
        <x:v>README、构建脚本与实际打开核对</x:v>
      </x:c>
      <x:c r="H307" s="21" t="str">
        <x:v>理解/操作</x:v>
      </x:c>
      <x:c r="I307" s="21" t="str">
        <x:v>全流程</x:v>
      </x:c>
      <x:c r="J307" s="21" t="str">
        <x:v>全平台</x:v>
      </x:c>
      <x:c r="K307" s="21" t="str"/>
      <x:c r="L307" s="29" t="str">
        <x:v>未检查</x:v>
      </x:c>
      <x:c r="M307" s="29" t="str">
        <x:v>未确认</x:v>
      </x:c>
      <x:c r="N307" s="29" t="str">
        <x:v>未确认</x:v>
      </x:c>
      <x:c r="O307" s="29" t="str"/>
      <x:c r="P307" s="29" t="str">
        <x:f>IF(OR(L307="未检查",L307="通过",L307="不适用"),"",IFERROR(VLOOKUP(M307,'口径与下拉'!$A$9:$B$14,2,FALSE),0)+IFERROR(VLOOKUP(N307,'口径与下拉'!$D$9:$E$14,2,FALSE),0)+O307)</x:f>
      </x:c>
      <x:c r="Q307" s="29" t="str"/>
      <x:c r="R307" s="29" t="str">
        <x:f>IF(P307="","",IF(P307&gt;=13,"P0",IF(P307&gt;=10,"P1",IF(P307&gt;=7,"P2","P3"))))</x:f>
      </x:c>
      <x:c r="S307" s="21" t="str"/>
      <x:c r="T307" s="21" t="str"/>
      <x:c r="U307" s="21" t="str"/>
      <x:c r="V307" s="31" t="str"/>
      <x:c r="W307" s="21" t="str"/>
      <x:c r="X307" s="21" t="str">
        <x:v>未复测</x:v>
      </x:c>
      <x:c r="Y307" s="21" t="str"/>
    </x:row>
    <x:row r="308" ht="52" customHeight="1">
      <x:c r="A308" s="27" t="str">
        <x:v>UX-304</x:v>
      </x:c>
      <x:c r="B308" s="23" t="str">
        <x:v>23 版本、发布与运行一致性</x:v>
      </x:c>
      <x:c r="C308" s="23" t="str">
        <x:v>交付质量</x:v>
      </x:c>
      <x:c r="D308" s="23" t="str">
        <x:v>source/dist/TapTap 包</x:v>
      </x:c>
      <x:c r="E308" s="21" t="str">
        <x:v>构建会刷新 dist</x:v>
      </x:c>
      <x:c r="F308" s="21" t="str">
        <x:v>发布回归不使用陈旧构建；版本标识与源一致</x:v>
      </x:c>
      <x:c r="G308" s="21" t="str">
        <x:v>修改标识后重建验证</x:v>
      </x:c>
      <x:c r="H308" s="21" t="str">
        <x:v>理解/操作</x:v>
      </x:c>
      <x:c r="I308" s="21" t="str">
        <x:v>全流程</x:v>
      </x:c>
      <x:c r="J308" s="21" t="str">
        <x:v>全平台</x:v>
      </x:c>
      <x:c r="K308" s="21" t="str"/>
      <x:c r="L308" s="29" t="str">
        <x:v>未检查</x:v>
      </x:c>
      <x:c r="M308" s="29" t="str">
        <x:v>未确认</x:v>
      </x:c>
      <x:c r="N308" s="29" t="str">
        <x:v>未确认</x:v>
      </x:c>
      <x:c r="O308" s="29" t="str"/>
      <x:c r="P308" s="29" t="str">
        <x:f>IF(OR(L308="未检查",L308="通过",L308="不适用"),"",IFERROR(VLOOKUP(M308,'口径与下拉'!$A$9:$B$14,2,FALSE),0)+IFERROR(VLOOKUP(N308,'口径与下拉'!$D$9:$E$14,2,FALSE),0)+O308)</x:f>
      </x:c>
      <x:c r="Q308" s="29" t="str"/>
      <x:c r="R308" s="29" t="str">
        <x:f>IF(P308="","",IF(P308&gt;=13,"P0",IF(P308&gt;=10,"P1",IF(P308&gt;=7,"P2","P3"))))</x:f>
      </x:c>
      <x:c r="S308" s="21" t="str"/>
      <x:c r="T308" s="21" t="str"/>
      <x:c r="U308" s="21" t="str"/>
      <x:c r="V308" s="31" t="str"/>
      <x:c r="W308" s="21" t="str"/>
      <x:c r="X308" s="21" t="str">
        <x:v>未复测</x:v>
      </x:c>
      <x:c r="Y308" s="21" t="str"/>
    </x:row>
    <x:row r="309" ht="52" customHeight="1">
      <x:c r="A309" s="27" t="str">
        <x:v>UX-305</x:v>
      </x:c>
      <x:c r="B309" s="23" t="str">
        <x:v>23 版本、发布与运行一致性</x:v>
      </x:c>
      <x:c r="C309" s="23" t="str">
        <x:v>交付质量</x:v>
      </x:c>
      <x:c r="D309" s="23" t="str">
        <x:v>source/dist/TapTap 包</x:v>
      </x:c>
      <x:c r="E309" s="21" t="str">
        <x:v>TapTap 包结构正确</x:v>
      </x:c>
      <x:c r="F309" s="21" t="str">
        <x:v>仅一个顶层目录且其中有 index.html；资源路径为包内可用相对路径</x:v>
      </x:c>
      <x:c r="G309" s="21" t="str">
        <x:v>解压清单与离线打开</x:v>
      </x:c>
      <x:c r="H309" s="21" t="str">
        <x:v>理解/操作</x:v>
      </x:c>
      <x:c r="I309" s="21" t="str">
        <x:v>全流程</x:v>
      </x:c>
      <x:c r="J309" s="21" t="str">
        <x:v>全平台</x:v>
      </x:c>
      <x:c r="K309" s="21" t="str"/>
      <x:c r="L309" s="29" t="str">
        <x:v>未检查</x:v>
      </x:c>
      <x:c r="M309" s="29" t="str">
        <x:v>未确认</x:v>
      </x:c>
      <x:c r="N309" s="29" t="str">
        <x:v>未确认</x:v>
      </x:c>
      <x:c r="O309" s="29" t="str"/>
      <x:c r="P309" s="29" t="str">
        <x:f>IF(OR(L309="未检查",L309="通过",L309="不适用"),"",IFERROR(VLOOKUP(M309,'口径与下拉'!$A$9:$B$14,2,FALSE),0)+IFERROR(VLOOKUP(N309,'口径与下拉'!$D$9:$E$14,2,FALSE),0)+O309)</x:f>
      </x:c>
      <x:c r="Q309" s="29" t="str"/>
      <x:c r="R309" s="29" t="str">
        <x:f>IF(P309="","",IF(P309&gt;=13,"P0",IF(P309&gt;=10,"P1",IF(P309&gt;=7,"P2","P3"))))</x:f>
      </x:c>
      <x:c r="S309" s="21" t="str"/>
      <x:c r="T309" s="21" t="str"/>
      <x:c r="U309" s="21" t="str"/>
      <x:c r="V309" s="31" t="str"/>
      <x:c r="W309" s="21" t="str"/>
      <x:c r="X309" s="21" t="str">
        <x:v>未复测</x:v>
      </x:c>
      <x:c r="Y309" s="21" t="str"/>
    </x:row>
    <x:row r="310" ht="52" customHeight="1">
      <x:c r="A310" s="27" t="str">
        <x:v>UX-306</x:v>
      </x:c>
      <x:c r="B310" s="23" t="str">
        <x:v>23 版本、发布与运行一致性</x:v>
      </x:c>
      <x:c r="C310" s="23" t="str">
        <x:v>交付质量</x:v>
      </x:c>
      <x:c r="D310" s="23" t="str">
        <x:v>source/dist/TapTap 包</x:v>
      </x:c>
      <x:c r="E310" s="21" t="str">
        <x:v>发行包不含开发文件与敏感材料</x:v>
      </x:c>
      <x:c r="F310" s="21" t="str">
        <x:v>无源凭证、缓存、测试录像、调试数据、私密路径</x:v>
      </x:c>
      <x:c r="G310" s="21" t="str">
        <x:v>包内容扫描</x:v>
      </x:c>
      <x:c r="H310" s="21" t="str">
        <x:v>安全/发布</x:v>
      </x:c>
      <x:c r="I310" s="21" t="str">
        <x:v>全流程</x:v>
      </x:c>
      <x:c r="J310" s="21" t="str">
        <x:v>全平台</x:v>
      </x:c>
      <x:c r="K310" s="21" t="str"/>
      <x:c r="L310" s="29" t="str">
        <x:v>未检查</x:v>
      </x:c>
      <x:c r="M310" s="29" t="str">
        <x:v>未确认</x:v>
      </x:c>
      <x:c r="N310" s="29" t="str">
        <x:v>未确认</x:v>
      </x:c>
      <x:c r="O310" s="29" t="str"/>
      <x:c r="P310" s="29" t="str">
        <x:f>IF(OR(L310="未检查",L310="通过",L310="不适用"),"",IFERROR(VLOOKUP(M310,'口径与下拉'!$A$9:$B$14,2,FALSE),0)+IFERROR(VLOOKUP(N310,'口径与下拉'!$D$9:$E$14,2,FALSE),0)+O310)</x:f>
      </x:c>
      <x:c r="Q310" s="29" t="str"/>
      <x:c r="R310" s="29" t="str">
        <x:f>IF(P310="","",IF(P310&gt;=13,"P0",IF(P310&gt;=10,"P1",IF(P310&gt;=7,"P2","P3"))))</x:f>
      </x:c>
      <x:c r="S310" s="21" t="str"/>
      <x:c r="T310" s="21" t="str"/>
      <x:c r="U310" s="21" t="str"/>
      <x:c r="V310" s="31" t="str"/>
      <x:c r="W310" s="21" t="str"/>
      <x:c r="X310" s="21" t="str">
        <x:v>未复测</x:v>
      </x:c>
      <x:c r="Y310" s="21" t="str"/>
    </x:row>
    <x:row r="311" ht="52" customHeight="1">
      <x:c r="A311" s="27" t="str">
        <x:v>UX-307</x:v>
      </x:c>
      <x:c r="B311" s="23" t="str">
        <x:v>23 版本、发布与运行一致性</x:v>
      </x:c>
      <x:c r="C311" s="23" t="str">
        <x:v>交付质量</x:v>
      </x:c>
      <x:c r="D311" s="23" t="str">
        <x:v>source/dist/TapTap 包</x:v>
      </x:c>
      <x:c r="E311" s="21" t="str">
        <x:v>版本号与变更说明可追溯</x:v>
      </x:c>
      <x:c r="F311" s="21" t="str">
        <x:v>设置页/包/报告能对应同一构建和审查记录</x:v>
      </x:c>
      <x:c r="G311" s="21" t="str">
        <x:v>版本字段核对</x:v>
      </x:c>
      <x:c r="H311" s="21" t="str">
        <x:v>理解/操作</x:v>
      </x:c>
      <x:c r="I311" s="21" t="str">
        <x:v>全流程</x:v>
      </x:c>
      <x:c r="J311" s="21" t="str">
        <x:v>全平台</x:v>
      </x:c>
      <x:c r="K311" s="21" t="str"/>
      <x:c r="L311" s="29" t="str">
        <x:v>未检查</x:v>
      </x:c>
      <x:c r="M311" s="29" t="str">
        <x:v>未确认</x:v>
      </x:c>
      <x:c r="N311" s="29" t="str">
        <x:v>未确认</x:v>
      </x:c>
      <x:c r="O311" s="29" t="str"/>
      <x:c r="P311" s="29" t="str">
        <x:f>IF(OR(L311="未检查",L311="通过",L311="不适用"),"",IFERROR(VLOOKUP(M311,'口径与下拉'!$A$9:$B$14,2,FALSE),0)+IFERROR(VLOOKUP(N311,'口径与下拉'!$D$9:$E$14,2,FALSE),0)+O311)</x:f>
      </x:c>
      <x:c r="Q311" s="29" t="str"/>
      <x:c r="R311" s="29" t="str">
        <x:f>IF(P311="","",IF(P311&gt;=13,"P0",IF(P311&gt;=10,"P1",IF(P311&gt;=7,"P2","P3"))))</x:f>
      </x:c>
      <x:c r="S311" s="21" t="str"/>
      <x:c r="T311" s="21" t="str"/>
      <x:c r="U311" s="21" t="str"/>
      <x:c r="V311" s="31" t="str"/>
      <x:c r="W311" s="21" t="str"/>
      <x:c r="X311" s="21" t="str">
        <x:v>未复测</x:v>
      </x:c>
      <x:c r="Y311" s="21" t="str"/>
    </x:row>
    <x:row r="312" ht="52" customHeight="1">
      <x:c r="A312" s="27" t="str">
        <x:v>UX-308</x:v>
      </x:c>
      <x:c r="B312" s="23" t="str">
        <x:v>23 版本、发布与运行一致性</x:v>
      </x:c>
      <x:c r="C312" s="23" t="str">
        <x:v>交付质量</x:v>
      </x:c>
      <x:c r="D312" s="23" t="str">
        <x:v>source/dist/TapTap 包</x:v>
      </x:c>
      <x:c r="E312" s="21" t="str">
        <x:v>回归门禁覆盖真实体验</x:v>
      </x:c>
      <x:c r="F312" s="21" t="str">
        <x:v>测试通过之外仍有真实浏览器、视觉、异常路径与人工体验复核</x:v>
      </x:c>
      <x:c r="G312" s="21" t="str">
        <x:v>验收证据清单审查</x:v>
      </x:c>
      <x:c r="H312" s="21" t="str">
        <x:v>理解/操作</x:v>
      </x:c>
      <x:c r="I312" s="21" t="str">
        <x:v>全流程</x:v>
      </x:c>
      <x:c r="J312" s="21" t="str">
        <x:v>全平台</x:v>
      </x:c>
      <x:c r="K312" s="21" t="str"/>
      <x:c r="L312" s="29" t="str">
        <x:v>未检查</x:v>
      </x:c>
      <x:c r="M312" s="29" t="str">
        <x:v>未确认</x:v>
      </x:c>
      <x:c r="N312" s="29" t="str">
        <x:v>未确认</x:v>
      </x:c>
      <x:c r="O312" s="29" t="str"/>
      <x:c r="P312" s="29" t="str">
        <x:f>IF(OR(L312="未检查",L312="通过",L312="不适用"),"",IFERROR(VLOOKUP(M312,'口径与下拉'!$A$9:$B$14,2,FALSE),0)+IFERROR(VLOOKUP(N312,'口径与下拉'!$D$9:$E$14,2,FALSE),0)+O312)</x:f>
      </x:c>
      <x:c r="Q312" s="29" t="str"/>
      <x:c r="R312" s="29" t="str">
        <x:f>IF(P312="","",IF(P312&gt;=13,"P0",IF(P312&gt;=10,"P1",IF(P312&gt;=7,"P2","P3"))))</x:f>
      </x:c>
      <x:c r="S312" s="21" t="str"/>
      <x:c r="T312" s="21" t="str"/>
      <x:c r="U312" s="21" t="str"/>
      <x:c r="V312" s="31" t="str"/>
      <x:c r="W312" s="21" t="str"/>
      <x:c r="X312" s="21" t="str">
        <x:v>未复测</x:v>
      </x:c>
      <x:c r="Y312" s="21" t="str"/>
    </x:row>
    <x:row r="313" ht="52" customHeight="1">
      <x:c r="A313" s="27" t="str">
        <x:v>UX-309</x:v>
      </x:c>
      <x:c r="B313" s="23" t="str">
        <x:v>23 版本、发布与运行一致性</x:v>
      </x:c>
      <x:c r="C313" s="23" t="str">
        <x:v>交付质量</x:v>
      </x:c>
      <x:c r="D313" s="23" t="str">
        <x:v>source/dist/TapTap 包</x:v>
      </x:c>
      <x:c r="E313" s="21" t="str">
        <x:v>发布状态表述准确</x:v>
      </x:c>
      <x:c r="F313" s="21" t="str">
        <x:v>区分源码完成、构建成功、包生成、上传、审核和公开上线</x:v>
      </x:c>
      <x:c r="G313" s="21" t="str">
        <x:v>发布记录核对</x:v>
      </x:c>
      <x:c r="H313" s="21" t="str">
        <x:v>信任/协作</x:v>
      </x:c>
      <x:c r="I313" s="21" t="str">
        <x:v>全流程</x:v>
      </x:c>
      <x:c r="J313" s="21" t="str">
        <x:v>全平台</x:v>
      </x:c>
      <x:c r="K313" s="21" t="str"/>
      <x:c r="L313" s="29" t="str">
        <x:v>未检查</x:v>
      </x:c>
      <x:c r="M313" s="29" t="str">
        <x:v>未确认</x:v>
      </x:c>
      <x:c r="N313" s="29" t="str">
        <x:v>未确认</x:v>
      </x:c>
      <x:c r="O313" s="29" t="str"/>
      <x:c r="P313" s="29" t="str">
        <x:f>IF(OR(L313="未检查",L313="通过",L313="不适用"),"",IFERROR(VLOOKUP(M313,'口径与下拉'!$A$9:$B$14,2,FALSE),0)+IFERROR(VLOOKUP(N313,'口径与下拉'!$D$9:$E$14,2,FALSE),0)+O313)</x:f>
      </x:c>
      <x:c r="Q313" s="29" t="str"/>
      <x:c r="R313" s="29" t="str">
        <x:f>IF(P313="","",IF(P313&gt;=13,"P0",IF(P313&gt;=10,"P1",IF(P313&gt;=7,"P2","P3"))))</x:f>
      </x:c>
      <x:c r="S313" s="21" t="str"/>
      <x:c r="T313" s="21" t="str"/>
      <x:c r="U313" s="21" t="str"/>
      <x:c r="V313" s="31" t="str"/>
      <x:c r="W313" s="21" t="str"/>
      <x:c r="X313" s="21" t="str">
        <x:v>未复测</x:v>
      </x:c>
      <x:c r="Y313" s="21" t="str"/>
    </x:row>
    <x:row r="314" ht="52" customHeight="1">
      <x:c r="A314" s="27" t="str">
        <x:v>UX-310</x:v>
      </x:c>
      <x:c r="B314" s="23" t="str">
        <x:v>23 版本、发布与运行一致性</x:v>
      </x:c>
      <x:c r="C314" s="23" t="str">
        <x:v>交付质量</x:v>
      </x:c>
      <x:c r="D314" s="23" t="str">
        <x:v>source/dist/TapTap 包</x:v>
      </x:c>
      <x:c r="E314" s="21" t="str">
        <x:v>发布前重跑关键门禁</x:v>
      </x:c>
      <x:c r="F314" s="21" t="str">
        <x:v>不直接沿用历史 38/38、32/32 等结果，当前构建重新验证</x:v>
      </x:c>
      <x:c r="G314" s="21" t="str">
        <x:v>当前提交执行发布套件</x:v>
      </x:c>
      <x:c r="H314" s="21" t="str">
        <x:v>理解/操作</x:v>
      </x:c>
      <x:c r="I314" s="21" t="str">
        <x:v>全流程</x:v>
      </x:c>
      <x:c r="J314" s="21" t="str">
        <x:v>全平台</x:v>
      </x:c>
      <x:c r="K314" s="21" t="str"/>
      <x:c r="L314" s="29" t="str">
        <x:v>未检查</x:v>
      </x:c>
      <x:c r="M314" s="29" t="str">
        <x:v>未确认</x:v>
      </x:c>
      <x:c r="N314" s="29" t="str">
        <x:v>未确认</x:v>
      </x:c>
      <x:c r="O314" s="29" t="str"/>
      <x:c r="P314" s="29" t="str">
        <x:f>IF(OR(L314="未检查",L314="通过",L314="不适用"),"",IFERROR(VLOOKUP(M314,'口径与下拉'!$A$9:$B$14,2,FALSE),0)+IFERROR(VLOOKUP(N314,'口径与下拉'!$D$9:$E$14,2,FALSE),0)+O314)</x:f>
      </x:c>
      <x:c r="Q314" s="29" t="str"/>
      <x:c r="R314" s="29" t="str">
        <x:f>IF(P314="","",IF(P314&gt;=13,"P0",IF(P314&gt;=10,"P1",IF(P314&gt;=7,"P2","P3"))))</x:f>
      </x:c>
      <x:c r="S314" s="21" t="str"/>
      <x:c r="T314" s="21" t="str"/>
      <x:c r="U314" s="21" t="str"/>
      <x:c r="V314" s="31" t="str"/>
      <x:c r="W314" s="21" t="str"/>
      <x:c r="X314" s="21" t="str">
        <x:v>未复测</x:v>
      </x:c>
      <x:c r="Y314" s="21" t="str"/>
    </x:row>
    <x:row r="315" ht="52" customHeight="1">
      <x:c r="A315" s="27" t="str">
        <x:v>UX-311</x:v>
      </x:c>
      <x:c r="B315" s="23" t="str">
        <x:v>24 测试观测、运营与维护</x:v>
      </x:c>
      <x:c r="C315" s="23" t="str">
        <x:v>可持续审查</x:v>
      </x:c>
      <x:c r="D315" s="23" t="str">
        <x:v>全项目</x:v>
      </x:c>
      <x:c r="E315" s="21" t="str">
        <x:v>每个问题有可复现证据</x:v>
      </x:c>
      <x:c r="F315" s="21" t="str">
        <x:v>包含构建、设备、视口、步骤、预期、实际、截图/录屏/日志</x:v>
      </x:c>
      <x:c r="G315" s="21" t="str">
        <x:v>问题单抽检</x:v>
      </x:c>
      <x:c r="H315" s="21" t="str">
        <x:v>理解/操作</x:v>
      </x:c>
      <x:c r="I315" s="21" t="str">
        <x:v>全流程</x:v>
      </x:c>
      <x:c r="J315" s="21" t="str">
        <x:v>全平台</x:v>
      </x:c>
      <x:c r="K315" s="21" t="str"/>
      <x:c r="L315" s="29" t="str">
        <x:v>未检查</x:v>
      </x:c>
      <x:c r="M315" s="29" t="str">
        <x:v>未确认</x:v>
      </x:c>
      <x:c r="N315" s="29" t="str">
        <x:v>未确认</x:v>
      </x:c>
      <x:c r="O315" s="29" t="str"/>
      <x:c r="P315" s="29" t="str">
        <x:f>IF(OR(L315="未检查",L315="通过",L315="不适用"),"",IFERROR(VLOOKUP(M315,'口径与下拉'!$A$9:$B$14,2,FALSE),0)+IFERROR(VLOOKUP(N315,'口径与下拉'!$D$9:$E$14,2,FALSE),0)+O315)</x:f>
      </x:c>
      <x:c r="Q315" s="29" t="str"/>
      <x:c r="R315" s="29" t="str">
        <x:f>IF(P315="","",IF(P315&gt;=13,"P0",IF(P315&gt;=10,"P1",IF(P315&gt;=7,"P2","P3"))))</x:f>
      </x:c>
      <x:c r="S315" s="21" t="str"/>
      <x:c r="T315" s="21" t="str"/>
      <x:c r="U315" s="21" t="str"/>
      <x:c r="V315" s="31" t="str"/>
      <x:c r="W315" s="21" t="str"/>
      <x:c r="X315" s="21" t="str">
        <x:v>未复测</x:v>
      </x:c>
      <x:c r="Y315" s="21" t="str"/>
    </x:row>
    <x:row r="316" ht="52" customHeight="1">
      <x:c r="A316" s="27" t="str">
        <x:v>UX-312</x:v>
      </x:c>
      <x:c r="B316" s="23" t="str">
        <x:v>24 测试观测、运营与维护</x:v>
      </x:c>
      <x:c r="C316" s="23" t="str">
        <x:v>可持续审查</x:v>
      </x:c>
      <x:c r="D316" s="23" t="str">
        <x:v>全项目</x:v>
      </x:c>
      <x:c r="E316" s="21" t="str">
        <x:v>自动化与人工检查边界明确</x:v>
      </x:c>
      <x:c r="F316" s="21" t="str">
        <x:v>逻辑测试不冒充视觉/手感通过，截图差分不冒充玩法通过</x:v>
      </x:c>
      <x:c r="G316" s="21" t="str">
        <x:v>验收报告审查</x:v>
      </x:c>
      <x:c r="H316" s="21" t="str">
        <x:v>理解/操作</x:v>
      </x:c>
      <x:c r="I316" s="21" t="str">
        <x:v>全流程</x:v>
      </x:c>
      <x:c r="J316" s="21" t="str">
        <x:v>全平台</x:v>
      </x:c>
      <x:c r="K316" s="21" t="str"/>
      <x:c r="L316" s="29" t="str">
        <x:v>未检查</x:v>
      </x:c>
      <x:c r="M316" s="29" t="str">
        <x:v>未确认</x:v>
      </x:c>
      <x:c r="N316" s="29" t="str">
        <x:v>未确认</x:v>
      </x:c>
      <x:c r="O316" s="29" t="str"/>
      <x:c r="P316" s="29" t="str">
        <x:f>IF(OR(L316="未检查",L316="通过",L316="不适用"),"",IFERROR(VLOOKUP(M316,'口径与下拉'!$A$9:$B$14,2,FALSE),0)+IFERROR(VLOOKUP(N316,'口径与下拉'!$D$9:$E$14,2,FALSE),0)+O316)</x:f>
      </x:c>
      <x:c r="Q316" s="29" t="str"/>
      <x:c r="R316" s="29" t="str">
        <x:f>IF(P316="","",IF(P316&gt;=13,"P0",IF(P316&gt;=10,"P1",IF(P316&gt;=7,"P2","P3"))))</x:f>
      </x:c>
      <x:c r="S316" s="21" t="str"/>
      <x:c r="T316" s="21" t="str"/>
      <x:c r="U316" s="21" t="str"/>
      <x:c r="V316" s="31" t="str"/>
      <x:c r="W316" s="21" t="str"/>
      <x:c r="X316" s="21" t="str">
        <x:v>未复测</x:v>
      </x:c>
      <x:c r="Y316" s="21" t="str"/>
    </x:row>
    <x:row r="317" ht="52" customHeight="1">
      <x:c r="A317" s="27" t="str">
        <x:v>UX-313</x:v>
      </x:c>
      <x:c r="B317" s="23" t="str">
        <x:v>24 测试观测、运营与维护</x:v>
      </x:c>
      <x:c r="C317" s="23" t="str">
        <x:v>可持续审查</x:v>
      </x:c>
      <x:c r="D317" s="23" t="str">
        <x:v>全项目</x:v>
      </x:c>
      <x:c r="E317" s="21" t="str">
        <x:v>核心指标口径固定</x:v>
      </x:c>
      <x:c r="F317" s="21" t="str">
        <x:v>首局完成率、目标完成时长、卡点、满盘、资源差和回流有统一定义</x:v>
      </x:c>
      <x:c r="G317" s="21" t="str">
        <x:v>指标字典复核</x:v>
      </x:c>
      <x:c r="H317" s="21" t="str">
        <x:v>理解/操作</x:v>
      </x:c>
      <x:c r="I317" s="21" t="str">
        <x:v>全流程</x:v>
      </x:c>
      <x:c r="J317" s="21" t="str">
        <x:v>全平台</x:v>
      </x:c>
      <x:c r="K317" s="21" t="str"/>
      <x:c r="L317" s="29" t="str">
        <x:v>未检查</x:v>
      </x:c>
      <x:c r="M317" s="29" t="str">
        <x:v>未确认</x:v>
      </x:c>
      <x:c r="N317" s="29" t="str">
        <x:v>未确认</x:v>
      </x:c>
      <x:c r="O317" s="29" t="str"/>
      <x:c r="P317" s="29" t="str">
        <x:f>IF(OR(L317="未检查",L317="通过",L317="不适用"),"",IFERROR(VLOOKUP(M317,'口径与下拉'!$A$9:$B$14,2,FALSE),0)+IFERROR(VLOOKUP(N317,'口径与下拉'!$D$9:$E$14,2,FALSE),0)+O317)</x:f>
      </x:c>
      <x:c r="Q317" s="29" t="str"/>
      <x:c r="R317" s="29" t="str">
        <x:f>IF(P317="","",IF(P317&gt;=13,"P0",IF(P317&gt;=10,"P1",IF(P317&gt;=7,"P2","P3"))))</x:f>
      </x:c>
      <x:c r="S317" s="21" t="str"/>
      <x:c r="T317" s="21" t="str"/>
      <x:c r="U317" s="21" t="str"/>
      <x:c r="V317" s="31" t="str"/>
      <x:c r="W317" s="21" t="str"/>
      <x:c r="X317" s="21" t="str">
        <x:v>未复测</x:v>
      </x:c>
      <x:c r="Y317" s="21" t="str"/>
    </x:row>
    <x:row r="318" ht="52" customHeight="1">
      <x:c r="A318" s="27" t="str">
        <x:v>UX-314</x:v>
      </x:c>
      <x:c r="B318" s="23" t="str">
        <x:v>24 测试观测、运营与维护</x:v>
      </x:c>
      <x:c r="C318" s="23" t="str">
        <x:v>可持续审查</x:v>
      </x:c>
      <x:c r="D318" s="23" t="str">
        <x:v>全项目</x:v>
      </x:c>
      <x:c r="E318" s="21" t="str">
        <x:v>埋点关闭时仍可本地 QA</x:v>
      </x:c>
      <x:c r="F318" s="21" t="str">
        <x:v>测试可用本地日志/调试面板，不要求上传玩家数据</x:v>
      </x:c>
      <x:c r="G318" s="21" t="str">
        <x:v>关闭统计执行回归</x:v>
      </x:c>
      <x:c r="H318" s="21" t="str">
        <x:v>理解/操作</x:v>
      </x:c>
      <x:c r="I318" s="21" t="str">
        <x:v>全流程</x:v>
      </x:c>
      <x:c r="J318" s="21" t="str">
        <x:v>全平台</x:v>
      </x:c>
      <x:c r="K318" s="21" t="str"/>
      <x:c r="L318" s="29" t="str">
        <x:v>未检查</x:v>
      </x:c>
      <x:c r="M318" s="29" t="str">
        <x:v>未确认</x:v>
      </x:c>
      <x:c r="N318" s="29" t="str">
        <x:v>未确认</x:v>
      </x:c>
      <x:c r="O318" s="29" t="str"/>
      <x:c r="P318" s="29" t="str">
        <x:f>IF(OR(L318="未检查",L318="通过",L318="不适用"),"",IFERROR(VLOOKUP(M318,'口径与下拉'!$A$9:$B$14,2,FALSE),0)+IFERROR(VLOOKUP(N318,'口径与下拉'!$D$9:$E$14,2,FALSE),0)+O318)</x:f>
      </x:c>
      <x:c r="Q318" s="29" t="str"/>
      <x:c r="R318" s="29" t="str">
        <x:f>IF(P318="","",IF(P318&gt;=13,"P0",IF(P318&gt;=10,"P1",IF(P318&gt;=7,"P2","P3"))))</x:f>
      </x:c>
      <x:c r="S318" s="21" t="str"/>
      <x:c r="T318" s="21" t="str"/>
      <x:c r="U318" s="21" t="str"/>
      <x:c r="V318" s="31" t="str"/>
      <x:c r="W318" s="21" t="str"/>
      <x:c r="X318" s="21" t="str">
        <x:v>未复测</x:v>
      </x:c>
      <x:c r="Y318" s="21" t="str"/>
    </x:row>
    <x:row r="319" ht="52" customHeight="1">
      <x:c r="A319" s="27" t="str">
        <x:v>UX-315</x:v>
      </x:c>
      <x:c r="B319" s="23" t="str">
        <x:v>24 测试观测、运营与维护</x:v>
      </x:c>
      <x:c r="C319" s="23" t="str">
        <x:v>可持续审查</x:v>
      </x:c>
      <x:c r="D319" s="23" t="str">
        <x:v>全项目</x:v>
      </x:c>
      <x:c r="E319" s="21" t="str">
        <x:v>事件与版本可关联</x:v>
      </x:c>
      <x:c r="F319" s="21" t="str">
        <x:v>问题能追溯到构建、存档 schema、内容版本和设备环境</x:v>
      </x:c>
      <x:c r="G319" s="21" t="str">
        <x:v>问题单字段检查</x:v>
      </x:c>
      <x:c r="H319" s="21" t="str">
        <x:v>理解/操作</x:v>
      </x:c>
      <x:c r="I319" s="21" t="str">
        <x:v>全流程</x:v>
      </x:c>
      <x:c r="J319" s="21" t="str">
        <x:v>全平台</x:v>
      </x:c>
      <x:c r="K319" s="21" t="str"/>
      <x:c r="L319" s="29" t="str">
        <x:v>未检查</x:v>
      </x:c>
      <x:c r="M319" s="29" t="str">
        <x:v>未确认</x:v>
      </x:c>
      <x:c r="N319" s="29" t="str">
        <x:v>未确认</x:v>
      </x:c>
      <x:c r="O319" s="29" t="str"/>
      <x:c r="P319" s="29" t="str">
        <x:f>IF(OR(L319="未检查",L319="通过",L319="不适用"),"",IFERROR(VLOOKUP(M319,'口径与下拉'!$A$9:$B$14,2,FALSE),0)+IFERROR(VLOOKUP(N319,'口径与下拉'!$D$9:$E$14,2,FALSE),0)+O319)</x:f>
      </x:c>
      <x:c r="Q319" s="29" t="str"/>
      <x:c r="R319" s="29" t="str">
        <x:f>IF(P319="","",IF(P319&gt;=13,"P0",IF(P319&gt;=10,"P1",IF(P319&gt;=7,"P2","P3"))))</x:f>
      </x:c>
      <x:c r="S319" s="21" t="str"/>
      <x:c r="T319" s="21" t="str"/>
      <x:c r="U319" s="21" t="str"/>
      <x:c r="V319" s="31" t="str"/>
      <x:c r="W319" s="21" t="str"/>
      <x:c r="X319" s="21" t="str">
        <x:v>未复测</x:v>
      </x:c>
      <x:c r="Y319" s="21" t="str"/>
    </x:row>
    <x:row r="320" ht="52" customHeight="1">
      <x:c r="A320" s="27" t="str">
        <x:v>UX-316</x:v>
      </x:c>
      <x:c r="B320" s="23" t="str">
        <x:v>24 测试观测、运营与维护</x:v>
      </x:c>
      <x:c r="C320" s="23" t="str">
        <x:v>可持续审查</x:v>
      </x:c>
      <x:c r="D320" s="23" t="str">
        <x:v>全项目</x:v>
      </x:c>
      <x:c r="E320" s="21" t="str">
        <x:v>修复有复测与遗留风险</x:v>
      </x:c>
      <x:c r="F320" s="21" t="str">
        <x:v>关闭前记录复测版本、结论和未覆盖范围</x:v>
      </x:c>
      <x:c r="G320" s="21" t="str">
        <x:v>已关闭问题抽检</x:v>
      </x:c>
      <x:c r="H320" s="21" t="str">
        <x:v>理解/操作</x:v>
      </x:c>
      <x:c r="I320" s="21" t="str">
        <x:v>全流程</x:v>
      </x:c>
      <x:c r="J320" s="21" t="str">
        <x:v>全平台</x:v>
      </x:c>
      <x:c r="K320" s="21" t="str"/>
      <x:c r="L320" s="29" t="str">
        <x:v>未检查</x:v>
      </x:c>
      <x:c r="M320" s="29" t="str">
        <x:v>未确认</x:v>
      </x:c>
      <x:c r="N320" s="29" t="str">
        <x:v>未确认</x:v>
      </x:c>
      <x:c r="O320" s="29" t="str"/>
      <x:c r="P320" s="29" t="str">
        <x:f>IF(OR(L320="未检查",L320="通过",L320="不适用"),"",IFERROR(VLOOKUP(M320,'口径与下拉'!$A$9:$B$14,2,FALSE),0)+IFERROR(VLOOKUP(N320,'口径与下拉'!$D$9:$E$14,2,FALSE),0)+O320)</x:f>
      </x:c>
      <x:c r="Q320" s="29" t="str"/>
      <x:c r="R320" s="29" t="str">
        <x:f>IF(P320="","",IF(P320&gt;=13,"P0",IF(P320&gt;=10,"P1",IF(P320&gt;=7,"P2","P3"))))</x:f>
      </x:c>
      <x:c r="S320" s="21" t="str"/>
      <x:c r="T320" s="21" t="str"/>
      <x:c r="U320" s="21" t="str"/>
      <x:c r="V320" s="31" t="str"/>
      <x:c r="W320" s="21" t="str"/>
      <x:c r="X320" s="21" t="str">
        <x:v>未复测</x:v>
      </x:c>
      <x:c r="Y320" s="21" t="str"/>
    </x:row>
    <x:row r="321" ht="52" customHeight="1">
      <x:c r="A321" s="27" t="str">
        <x:v>UX-317</x:v>
      </x:c>
      <x:c r="B321" s="23" t="str">
        <x:v>24 测试观测、运营与维护</x:v>
      </x:c>
      <x:c r="C321" s="23" t="str">
        <x:v>可持续审查</x:v>
      </x:c>
      <x:c r="D321" s="23" t="str">
        <x:v>全项目</x:v>
      </x:c>
      <x:c r="E321" s="21" t="str">
        <x:v>测试账号/存档可重建</x:v>
      </x:c>
      <x:c r="F321" s="21" t="str">
        <x:v>新档、各卷、满盘、弱网、未来档等状态有可复用夹具</x:v>
      </x:c>
      <x:c r="G321" s="21" t="str">
        <x:v>夹具清单与重置演练</x:v>
      </x:c>
      <x:c r="H321" s="21" t="str">
        <x:v>理解/操作</x:v>
      </x:c>
      <x:c r="I321" s="21" t="str">
        <x:v>全流程</x:v>
      </x:c>
      <x:c r="J321" s="21" t="str">
        <x:v>全平台</x:v>
      </x:c>
      <x:c r="K321" s="21" t="str"/>
      <x:c r="L321" s="29" t="str">
        <x:v>未检查</x:v>
      </x:c>
      <x:c r="M321" s="29" t="str">
        <x:v>未确认</x:v>
      </x:c>
      <x:c r="N321" s="29" t="str">
        <x:v>未确认</x:v>
      </x:c>
      <x:c r="O321" s="29" t="str"/>
      <x:c r="P321" s="29" t="str">
        <x:f>IF(OR(L321="未检查",L321="通过",L321="不适用"),"",IFERROR(VLOOKUP(M321,'口径与下拉'!$A$9:$B$14,2,FALSE),0)+IFERROR(VLOOKUP(N321,'口径与下拉'!$D$9:$E$14,2,FALSE),0)+O321)</x:f>
      </x:c>
      <x:c r="Q321" s="29" t="str"/>
      <x:c r="R321" s="29" t="str">
        <x:f>IF(P321="","",IF(P321&gt;=13,"P0",IF(P321&gt;=10,"P1",IF(P321&gt;=7,"P2","P3"))))</x:f>
      </x:c>
      <x:c r="S321" s="21" t="str"/>
      <x:c r="T321" s="21" t="str"/>
      <x:c r="U321" s="21" t="str"/>
      <x:c r="V321" s="31" t="str"/>
      <x:c r="W321" s="21" t="str"/>
      <x:c r="X321" s="21" t="str">
        <x:v>未复测</x:v>
      </x:c>
      <x:c r="Y321" s="21" t="str"/>
    </x:row>
    <x:row r="322" ht="52" customHeight="1">
      <x:c r="A322" s="27" t="str">
        <x:v>UX-318</x:v>
      </x:c>
      <x:c r="B322" s="23" t="str">
        <x:v>24 测试观测、运营与维护</x:v>
      </x:c>
      <x:c r="C322" s="23" t="str">
        <x:v>可持续审查</x:v>
      </x:c>
      <x:c r="D322" s="23" t="str">
        <x:v>全项目</x:v>
      </x:c>
      <x:c r="E322" s="21" t="str">
        <x:v>活动/远程配置有安全默认</x:v>
      </x:c>
      <x:c r="F322" s="21" t="str">
        <x:v>配置缺失、过期、错误时回到稳定体验，不阻断主循环</x:v>
      </x:c>
      <x:c r="G322" s="21" t="str">
        <x:v>异常配置测试</x:v>
      </x:c>
      <x:c r="H322" s="21" t="str">
        <x:v>理解/操作</x:v>
      </x:c>
      <x:c r="I322" s="21" t="str">
        <x:v>全流程</x:v>
      </x:c>
      <x:c r="J322" s="21" t="str">
        <x:v>全平台</x:v>
      </x:c>
      <x:c r="K322" s="21" t="str"/>
      <x:c r="L322" s="29" t="str">
        <x:v>未检查</x:v>
      </x:c>
      <x:c r="M322" s="29" t="str">
        <x:v>未确认</x:v>
      </x:c>
      <x:c r="N322" s="29" t="str">
        <x:v>未确认</x:v>
      </x:c>
      <x:c r="O322" s="29" t="str"/>
      <x:c r="P322" s="29" t="str">
        <x:f>IF(OR(L322="未检查",L322="通过",L322="不适用"),"",IFERROR(VLOOKUP(M322,'口径与下拉'!$A$9:$B$14,2,FALSE),0)+IFERROR(VLOOKUP(N322,'口径与下拉'!$D$9:$E$14,2,FALSE),0)+O322)</x:f>
      </x:c>
      <x:c r="Q322" s="29" t="str"/>
      <x:c r="R322" s="29" t="str">
        <x:f>IF(P322="","",IF(P322&gt;=13,"P0",IF(P322&gt;=10,"P1",IF(P322&gt;=7,"P2","P3"))))</x:f>
      </x:c>
      <x:c r="S322" s="21" t="str"/>
      <x:c r="T322" s="21" t="str"/>
      <x:c r="U322" s="21" t="str"/>
      <x:c r="V322" s="31" t="str"/>
      <x:c r="W322" s="21" t="str"/>
      <x:c r="X322" s="21" t="str">
        <x:v>未复测</x:v>
      </x:c>
      <x:c r="Y322" s="21" t="str"/>
    </x:row>
    <x:row r="323" ht="52" customHeight="1">
      <x:c r="A323" s="27" t="str">
        <x:v>UX-319</x:v>
      </x:c>
      <x:c r="B323" s="23" t="str">
        <x:v>24 测试观测、运营与维护</x:v>
      </x:c>
      <x:c r="C323" s="23" t="str">
        <x:v>可持续审查</x:v>
      </x:c>
      <x:c r="D323" s="23" t="str">
        <x:v>全项目</x:v>
      </x:c>
      <x:c r="E323" s="21" t="str">
        <x:v>反馈入口不打断游戏</x:v>
      </x:c>
      <x:c r="F323" s="21" t="str">
        <x:v>玩家可提交问题并获得证据编号；不自动上传隐私内容</x:v>
      </x:c>
      <x:c r="G323" s="21" t="str">
        <x:v>支持流程审查</x:v>
      </x:c>
      <x:c r="H323" s="21" t="str">
        <x:v>理解/操作</x:v>
      </x:c>
      <x:c r="I323" s="21" t="str">
        <x:v>全流程</x:v>
      </x:c>
      <x:c r="J323" s="21" t="str">
        <x:v>全平台</x:v>
      </x:c>
      <x:c r="K323" s="21" t="str"/>
      <x:c r="L323" s="29" t="str">
        <x:v>未检查</x:v>
      </x:c>
      <x:c r="M323" s="29" t="str">
        <x:v>未确认</x:v>
      </x:c>
      <x:c r="N323" s="29" t="str">
        <x:v>未确认</x:v>
      </x:c>
      <x:c r="O323" s="29" t="str"/>
      <x:c r="P323" s="29" t="str">
        <x:f>IF(OR(L323="未检查",L323="通过",L323="不适用"),"",IFERROR(VLOOKUP(M323,'口径与下拉'!$A$9:$B$14,2,FALSE),0)+IFERROR(VLOOKUP(N323,'口径与下拉'!$D$9:$E$14,2,FALSE),0)+O323)</x:f>
      </x:c>
      <x:c r="Q323" s="29" t="str"/>
      <x:c r="R323" s="29" t="str">
        <x:f>IF(P323="","",IF(P323&gt;=13,"P0",IF(P323&gt;=10,"P1",IF(P323&gt;=7,"P2","P3"))))</x:f>
      </x:c>
      <x:c r="S323" s="21" t="str"/>
      <x:c r="T323" s="21" t="str"/>
      <x:c r="U323" s="21" t="str"/>
      <x:c r="V323" s="31" t="str"/>
      <x:c r="W323" s="21" t="str"/>
      <x:c r="X323" s="21" t="str">
        <x:v>未复测</x:v>
      </x:c>
      <x:c r="Y323" s="21" t="str"/>
    </x:row>
    <x:row r="324" ht="52" customHeight="1">
      <x:c r="A324" s="27" t="str">
        <x:v>UX-320</x:v>
      </x:c>
      <x:c r="B324" s="23" t="str">
        <x:v>24 测试观测、运营与维护</x:v>
      </x:c>
      <x:c r="C324" s="23" t="str">
        <x:v>可持续审查</x:v>
      </x:c>
      <x:c r="D324" s="23" t="str">
        <x:v>全项目</x:v>
      </x:c>
      <x:c r="E324" s="21" t="str">
        <x:v>大改后更新场景矩阵</x:v>
      </x:c>
      <x:c r="F324" s="21" t="str">
        <x:v>新增/删除页面、弹窗、系统时同步基线、路由和检查项</x:v>
      </x:c>
      <x:c r="G324" s="21" t="str">
        <x:v>版本变更对照</x:v>
      </x:c>
      <x:c r="H324" s="21" t="str">
        <x:v>理解/操作</x:v>
      </x:c>
      <x:c r="I324" s="21" t="str">
        <x:v>全流程</x:v>
      </x:c>
      <x:c r="J324" s="21" t="str">
        <x:v>全平台</x:v>
      </x:c>
      <x:c r="K324" s="21" t="str"/>
      <x:c r="L324" s="29" t="str">
        <x:v>未检查</x:v>
      </x:c>
      <x:c r="M324" s="29" t="str">
        <x:v>未确认</x:v>
      </x:c>
      <x:c r="N324" s="29" t="str">
        <x:v>未确认</x:v>
      </x:c>
      <x:c r="O324" s="29" t="str"/>
      <x:c r="P324" s="29" t="str">
        <x:f>IF(OR(L324="未检查",L324="通过",L324="不适用"),"",IFERROR(VLOOKUP(M324,'口径与下拉'!$A$9:$B$14,2,FALSE),0)+IFERROR(VLOOKUP(N324,'口径与下拉'!$D$9:$E$14,2,FALSE),0)+O324)</x:f>
      </x:c>
      <x:c r="Q324" s="29" t="str"/>
      <x:c r="R324" s="29" t="str">
        <x:f>IF(P324="","",IF(P324&gt;=13,"P0",IF(P324&gt;=10,"P1",IF(P324&gt;=7,"P2","P3"))))</x:f>
      </x:c>
      <x:c r="S324" s="21" t="str"/>
      <x:c r="T324" s="21" t="str"/>
      <x:c r="U324" s="21" t="str"/>
      <x:c r="V324" s="31" t="str"/>
      <x:c r="W324" s="21" t="str"/>
      <x:c r="X324" s="21" t="str">
        <x:v>未复测</x:v>
      </x:c>
      <x:c r="Y324" s="21" t="str"/>
    </x:row>
  </x:sheetData>
  <x:mergeCells>
    <x:mergeCell ref="A1:Y2"/>
    <x:mergeCell ref="A3:Y3"/>
  </x:mergeCells>
  <x:conditionalFormatting sqref="L5:L324">
    <x:cfRule type="containsText" dxfId="0" priority="1" operator="containsText" text="通过"/>
    <x:cfRule type="containsText" dxfId="1" priority="2" operator="containsText" text="有问题"/>
    <x:cfRule type="containsText" dxfId="2" priority="3" operator="containsText" text="待复测"/>
    <x:cfRule type="containsText" dxfId="3" priority="4" operator="containsText" text="不适用"/>
    <x:cfRule type="containsText" dxfId="4" priority="5" operator="containsText" text="未检查"/>
  </x:conditionalFormatting>
  <x:conditionalFormatting sqref="R5:R324">
    <x:cfRule type="containsText" dxfId="5" priority="6" operator="containsText" text="P0"/>
    <x:cfRule type="containsText" dxfId="6" priority="7" operator="containsText" text="P1"/>
    <x:cfRule type="containsText" dxfId="7" priority="8" operator="containsText" text="P2"/>
    <x:cfRule type="containsText" dxfId="8" priority="9" operator="containsText" text="P3"/>
  </x:conditionalFormatting>
  <x:conditionalFormatting sqref="P5:P324">
    <x:cfRule type="colorScale" priority="10">
      <x:colorScale>
        <x:cfvo type="min"/>
        <x:cfvo type="percentile" val="50"/>
        <x:cfvo type="max"/>
        <x:color rgb="FFDCE9DE"/>
        <x:color rgb="FFF5E6BA"/>
        <x:color rgb="FFF4D8D2"/>
      </x:colorScale>
    </x:cfRule>
  </x:conditionalFormatting>
  <x:dataValidations count="6">
    <x:dataValidation type="whole" operator="between" sqref="O5:O324">
      <x:formula1>1</x:formula1>
      <x:formula2>5</x:formula2>
    </x:dataValidation>
    <x:dataValidation type="list" sqref="L5:L324">
      <x:formula1>'口径与下拉'!$G$9:$G$13</x:formula1>
    </x:dataValidation>
    <x:dataValidation type="list" sqref="M5:M324">
      <x:formula1>'口径与下拉'!$A$9:$A$14</x:formula1>
    </x:dataValidation>
    <x:dataValidation type="list" sqref="N5:N324">
      <x:formula1>'口径与下拉'!$D$9:$D$14</x:formula1>
    </x:dataValidation>
    <x:dataValidation type="list" sqref="Q5:Q324">
      <x:formula1>'口径与下拉'!$J$9:$J$13</x:formula1>
    </x:dataValidation>
    <x:dataValidation type="list" sqref="X5:X324">
      <x:formula1>'口径与下拉'!$L$9:$L$12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a80311a4fa47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30" hidden="0" customWidth="1"/>
    <x:col min="5" max="5" width="20" hidden="0" customWidth="1"/>
    <x:col min="6" max="6" width="38" hidden="0" customWidth="1"/>
    <x:col min="7" max="7" width="34" hidden="0" customWidth="1"/>
    <x:col min="8" max="8" width="34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9" hidden="0" customWidth="1"/>
    <x:col min="14" max="14" width="9" hidden="0" customWidth="1"/>
    <x:col min="15" max="15" width="18" hidden="0" customWidth="1"/>
    <x:col min="16" max="16" width="28" hidden="0" customWidth="1"/>
    <x:col min="17" max="17" width="34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8" hidden="0" customWidth="1"/>
    <x:col min="23" max="23" width="12" hidden="0" customWidth="1"/>
    <x:col min="24" max="24" width="12" hidden="0" customWidth="1"/>
    <x:col min="25" max="25" width="12" hidden="0" customWidth="1"/>
    <x:col min="26" max="26" width="32" hidden="0" customWidth="1"/>
  </x:cols>
  <x:sheetData>
    <x:row r="1" ht="34" customHeight="1">
      <x:c r="A1" s="4" t="str">
        <x:v>问题登记与整改闭环</x:v>
      </x:c>
      <x:c r="B1" s="4" t="str">
        <x:v>问题登记与整改闭环</x:v>
      </x:c>
      <x:c r="C1" s="4" t="str">
        <x:v>问题登记与整改闭环</x:v>
      </x:c>
      <x:c r="D1" s="4" t="str">
        <x:v>问题登记与整改闭环</x:v>
      </x:c>
      <x:c r="E1" s="4" t="str">
        <x:v>问题登记与整改闭环</x:v>
      </x:c>
      <x:c r="F1" s="4" t="str">
        <x:v>问题登记与整改闭环</x:v>
      </x:c>
      <x:c r="G1" s="4" t="str">
        <x:v>问题登记与整改闭环</x:v>
      </x:c>
      <x:c r="H1" s="4" t="str">
        <x:v>问题登记与整改闭环</x:v>
      </x:c>
      <x:c r="I1" s="4" t="str">
        <x:v>问题登记与整改闭环</x:v>
      </x:c>
      <x:c r="J1" s="4" t="str">
        <x:v>问题登记与整改闭环</x:v>
      </x:c>
      <x:c r="K1" s="4" t="str">
        <x:v>问题登记与整改闭环</x:v>
      </x:c>
      <x:c r="L1" s="4" t="str">
        <x:v>问题登记与整改闭环</x:v>
      </x:c>
      <x:c r="M1" s="4" t="str">
        <x:v>问题登记与整改闭环</x:v>
      </x:c>
      <x:c r="N1" s="4" t="str">
        <x:v>问题登记与整改闭环</x:v>
      </x:c>
      <x:c r="O1" s="4" t="str">
        <x:v>问题登记与整改闭环</x:v>
      </x:c>
      <x:c r="P1" s="4" t="str">
        <x:v>问题登记与整改闭环</x:v>
      </x:c>
      <x:c r="Q1" s="4" t="str">
        <x:v>问题登记与整改闭环</x:v>
      </x:c>
      <x:c r="R1" s="4" t="str">
        <x:v>问题登记与整改闭环</x:v>
      </x:c>
      <x:c r="S1" s="4" t="str">
        <x:v>问题登记与整改闭环</x:v>
      </x:c>
      <x:c r="T1" s="4" t="str">
        <x:v>问题登记与整改闭环</x:v>
      </x:c>
      <x:c r="U1" s="4" t="str">
        <x:v>问题登记与整改闭环</x:v>
      </x:c>
      <x:c r="V1" s="4" t="str">
        <x:v>问题登记与整改闭环</x:v>
      </x:c>
      <x:c r="W1" s="4" t="str">
        <x:v>问题登记与整改闭环</x:v>
      </x:c>
      <x:c r="X1" s="4" t="str">
        <x:v>问题登记与整改闭环</x:v>
      </x:c>
      <x:c r="Y1" s="4" t="str">
        <x:v>问题登记与整改闭环</x:v>
      </x:c>
      <x:c r="Z1" s="4" t="str">
        <x:v>问题登记与整改闭环</x:v>
      </x:c>
    </x:row>
    <x:row r="2" ht="34" customHeight="1">
      <x:c r="A2" s="4" t="str">
        <x:v>问题登记与整改闭环</x:v>
      </x:c>
      <x:c r="B2" s="4" t="str">
        <x:v>问题登记与整改闭环</x:v>
      </x:c>
      <x:c r="C2" s="4" t="str">
        <x:v>问题登记与整改闭环</x:v>
      </x:c>
      <x:c r="D2" s="4" t="str">
        <x:v>问题登记与整改闭环</x:v>
      </x:c>
      <x:c r="E2" s="4" t="str">
        <x:v>问题登记与整改闭环</x:v>
      </x:c>
      <x:c r="F2" s="4" t="str">
        <x:v>问题登记与整改闭环</x:v>
      </x:c>
      <x:c r="G2" s="4" t="str">
        <x:v>问题登记与整改闭环</x:v>
      </x:c>
      <x:c r="H2" s="4" t="str">
        <x:v>问题登记与整改闭环</x:v>
      </x:c>
      <x:c r="I2" s="4" t="str">
        <x:v>问题登记与整改闭环</x:v>
      </x:c>
      <x:c r="J2" s="4" t="str">
        <x:v>问题登记与整改闭环</x:v>
      </x:c>
      <x:c r="K2" s="4" t="str">
        <x:v>问题登记与整改闭环</x:v>
      </x:c>
      <x:c r="L2" s="4" t="str">
        <x:v>问题登记与整改闭环</x:v>
      </x:c>
      <x:c r="M2" s="4" t="str">
        <x:v>问题登记与整改闭环</x:v>
      </x:c>
      <x:c r="N2" s="4" t="str">
        <x:v>问题登记与整改闭环</x:v>
      </x:c>
      <x:c r="O2" s="4" t="str">
        <x:v>问题登记与整改闭环</x:v>
      </x:c>
      <x:c r="P2" s="4" t="str">
        <x:v>问题登记与整改闭环</x:v>
      </x:c>
      <x:c r="Q2" s="4" t="str">
        <x:v>问题登记与整改闭环</x:v>
      </x:c>
      <x:c r="R2" s="4" t="str">
        <x:v>问题登记与整改闭环</x:v>
      </x:c>
      <x:c r="S2" s="4" t="str">
        <x:v>问题登记与整改闭环</x:v>
      </x:c>
      <x:c r="T2" s="4" t="str">
        <x:v>问题登记与整改闭环</x:v>
      </x:c>
      <x:c r="U2" s="4" t="str">
        <x:v>问题登记与整改闭环</x:v>
      </x:c>
      <x:c r="V2" s="4" t="str">
        <x:v>问题登记与整改闭环</x:v>
      </x:c>
      <x:c r="W2" s="4" t="str">
        <x:v>问题登记与整改闭环</x:v>
      </x:c>
      <x:c r="X2" s="4" t="str">
        <x:v>问题登记与整改闭环</x:v>
      </x:c>
      <x:c r="Y2" s="4" t="str">
        <x:v>问题登记与整改闭环</x:v>
      </x:c>
      <x:c r="Z2" s="4" t="str">
        <x:v>问题登记与整改闭环</x:v>
      </x:c>
    </x:row>
    <x:row r="3" ht="34" customHeight="1">
      <x:c r="A3" s="8" t="str">
        <x:v>一条问题一行。问题ID建议使用 BUG-001 起；来源检查ID关联“审查清单”；只有复测通过并记录遗留风险后再关闭。风险分=严重度权重+频率权重+体验影响分。</x:v>
      </x:c>
      <x:c r="B3" s="8" t="str">
        <x:v>一条问题一行。问题ID建议使用 BUG-001 起；来源检查ID关联“审查清单”；只有复测通过并记录遗留风险后再关闭。风险分=严重度权重+频率权重+体验影响分。</x:v>
      </x:c>
      <x:c r="C3" s="8" t="str">
        <x:v>一条问题一行。问题ID建议使用 BUG-001 起；来源检查ID关联“审查清单”；只有复测通过并记录遗留风险后再关闭。风险分=严重度权重+频率权重+体验影响分。</x:v>
      </x:c>
      <x:c r="D3" s="8" t="str">
        <x:v>一条问题一行。问题ID建议使用 BUG-001 起；来源检查ID关联“审查清单”；只有复测通过并记录遗留风险后再关闭。风险分=严重度权重+频率权重+体验影响分。</x:v>
      </x:c>
      <x:c r="E3" s="8" t="str">
        <x:v>一条问题一行。问题ID建议使用 BUG-001 起；来源检查ID关联“审查清单”；只有复测通过并记录遗留风险后再关闭。风险分=严重度权重+频率权重+体验影响分。</x:v>
      </x:c>
      <x:c r="F3" s="8" t="str">
        <x:v>一条问题一行。问题ID建议使用 BUG-001 起；来源检查ID关联“审查清单”；只有复测通过并记录遗留风险后再关闭。风险分=严重度权重+频率权重+体验影响分。</x:v>
      </x:c>
      <x:c r="G3" s="8" t="str">
        <x:v>一条问题一行。问题ID建议使用 BUG-001 起；来源检查ID关联“审查清单”；只有复测通过并记录遗留风险后再关闭。风险分=严重度权重+频率权重+体验影响分。</x:v>
      </x:c>
      <x:c r="H3" s="8" t="str">
        <x:v>一条问题一行。问题ID建议使用 BUG-001 起；来源检查ID关联“审查清单”；只有复测通过并记录遗留风险后再关闭。风险分=严重度权重+频率权重+体验影响分。</x:v>
      </x:c>
      <x:c r="I3" s="8" t="str">
        <x:v>一条问题一行。问题ID建议使用 BUG-001 起；来源检查ID关联“审查清单”；只有复测通过并记录遗留风险后再关闭。风险分=严重度权重+频率权重+体验影响分。</x:v>
      </x:c>
      <x:c r="J3" s="8" t="str">
        <x:v>一条问题一行。问题ID建议使用 BUG-001 起；来源检查ID关联“审查清单”；只有复测通过并记录遗留风险后再关闭。风险分=严重度权重+频率权重+体验影响分。</x:v>
      </x:c>
      <x:c r="K3" s="8" t="str">
        <x:v>一条问题一行。问题ID建议使用 BUG-001 起；来源检查ID关联“审查清单”；只有复测通过并记录遗留风险后再关闭。风险分=严重度权重+频率权重+体验影响分。</x:v>
      </x:c>
      <x:c r="L3" s="8" t="str">
        <x:v>一条问题一行。问题ID建议使用 BUG-001 起；来源检查ID关联“审查清单”；只有复测通过并记录遗留风险后再关闭。风险分=严重度权重+频率权重+体验影响分。</x:v>
      </x:c>
      <x:c r="M3" s="8" t="str">
        <x:v>一条问题一行。问题ID建议使用 BUG-001 起；来源检查ID关联“审查清单”；只有复测通过并记录遗留风险后再关闭。风险分=严重度权重+频率权重+体验影响分。</x:v>
      </x:c>
      <x:c r="N3" s="8" t="str">
        <x:v>一条问题一行。问题ID建议使用 BUG-001 起；来源检查ID关联“审查清单”；只有复测通过并记录遗留风险后再关闭。风险分=严重度权重+频率权重+体验影响分。</x:v>
      </x:c>
      <x:c r="O3" s="8" t="str">
        <x:v>一条问题一行。问题ID建议使用 BUG-001 起；来源检查ID关联“审查清单”；只有复测通过并记录遗留风险后再关闭。风险分=严重度权重+频率权重+体验影响分。</x:v>
      </x:c>
      <x:c r="P3" s="8" t="str">
        <x:v>一条问题一行。问题ID建议使用 BUG-001 起；来源检查ID关联“审查清单”；只有复测通过并记录遗留风险后再关闭。风险分=严重度权重+频率权重+体验影响分。</x:v>
      </x:c>
      <x:c r="Q3" s="8" t="str">
        <x:v>一条问题一行。问题ID建议使用 BUG-001 起；来源检查ID关联“审查清单”；只有复测通过并记录遗留风险后再关闭。风险分=严重度权重+频率权重+体验影响分。</x:v>
      </x:c>
      <x:c r="R3" s="8" t="str">
        <x:v>一条问题一行。问题ID建议使用 BUG-001 起；来源检查ID关联“审查清单”；只有复测通过并记录遗留风险后再关闭。风险分=严重度权重+频率权重+体验影响分。</x:v>
      </x:c>
      <x:c r="S3" s="8" t="str">
        <x:v>一条问题一行。问题ID建议使用 BUG-001 起；来源检查ID关联“审查清单”；只有复测通过并记录遗留风险后再关闭。风险分=严重度权重+频率权重+体验影响分。</x:v>
      </x:c>
      <x:c r="T3" s="8" t="str">
        <x:v>一条问题一行。问题ID建议使用 BUG-001 起；来源检查ID关联“审查清单”；只有复测通过并记录遗留风险后再关闭。风险分=严重度权重+频率权重+体验影响分。</x:v>
      </x:c>
      <x:c r="U3" s="8" t="str">
        <x:v>一条问题一行。问题ID建议使用 BUG-001 起；来源检查ID关联“审查清单”；只有复测通过并记录遗留风险后再关闭。风险分=严重度权重+频率权重+体验影响分。</x:v>
      </x:c>
      <x:c r="V3" s="8" t="str">
        <x:v>一条问题一行。问题ID建议使用 BUG-001 起；来源检查ID关联“审查清单”；只有复测通过并记录遗留风险后再关闭。风险分=严重度权重+频率权重+体验影响分。</x:v>
      </x:c>
      <x:c r="W3" s="8" t="str">
        <x:v>一条问题一行。问题ID建议使用 BUG-001 起；来源检查ID关联“审查清单”；只有复测通过并记录遗留风险后再关闭。风险分=严重度权重+频率权重+体验影响分。</x:v>
      </x:c>
      <x:c r="X3" s="8" t="str">
        <x:v>一条问题一行。问题ID建议使用 BUG-001 起；来源检查ID关联“审查清单”；只有复测通过并记录遗留风险后再关闭。风险分=严重度权重+频率权重+体验影响分。</x:v>
      </x:c>
      <x:c r="Y3" s="8" t="str">
        <x:v>一条问题一行。问题ID建议使用 BUG-001 起；来源检查ID关联“审查清单”；只有复测通过并记录遗留风险后再关闭。风险分=严重度权重+频率权重+体验影响分。</x:v>
      </x:c>
      <x:c r="Z3" s="8" t="str">
        <x:v>一条问题一行。问题ID建议使用 BUG-001 起；来源检查ID关联“审查清单”；只有复测通过并记录遗留风险后再关闭。风险分=严重度权重+频率权重+体验影响分。</x:v>
      </x:c>
    </x:row>
    <x:row r="4" ht="32" customHeight="1">
      <x:c r="A4" s="14" t="str">
        <x:v>问题ID</x:v>
      </x:c>
      <x:c r="B4" s="14" t="str">
        <x:v>发现日期</x:v>
      </x:c>
      <x:c r="C4" s="14" t="str">
        <x:v>来源检查ID</x:v>
      </x:c>
      <x:c r="D4" s="14" t="str">
        <x:v>问题标题</x:v>
      </x:c>
      <x:c r="E4" s="14" t="str">
        <x:v>场景/系统</x:v>
      </x:c>
      <x:c r="F4" s="14" t="str">
        <x:v>复现步骤</x:v>
      </x:c>
      <x:c r="G4" s="14" t="str">
        <x:v>预期结果</x:v>
      </x:c>
      <x:c r="H4" s="14" t="str">
        <x:v>实际结果</x:v>
      </x:c>
      <x:c r="I4" s="14" t="str">
        <x:v>证据</x:v>
      </x:c>
      <x:c r="J4" s="14" t="str">
        <x:v>严重度</x:v>
      </x:c>
      <x:c r="K4" s="14" t="str">
        <x:v>发生频率</x:v>
      </x:c>
      <x:c r="L4" s="14" t="str">
        <x:v>体验影响(1-5)</x:v>
      </x:c>
      <x:c r="M4" s="14" t="str">
        <x:v>风险分</x:v>
      </x:c>
      <x:c r="N4" s="14" t="str">
        <x:v>优先级</x:v>
      </x:c>
      <x:c r="O4" s="14" t="str">
        <x:v>影响范围</x:v>
      </x:c>
      <x:c r="P4" s="14" t="str">
        <x:v>根因</x:v>
      </x:c>
      <x:c r="Q4" s="14" t="str">
        <x:v>修复方案</x:v>
      </x:c>
      <x:c r="R4" s="14" t="str">
        <x:v>责任人</x:v>
      </x:c>
      <x:c r="S4" s="14" t="str">
        <x:v>处理状态</x:v>
      </x:c>
      <x:c r="T4" s="14" t="str">
        <x:v>目标版本</x:v>
      </x:c>
      <x:c r="U4" s="14" t="str">
        <x:v>截止日期</x:v>
      </x:c>
      <x:c r="V4" s="14" t="str">
        <x:v>修复提交/版本</x:v>
      </x:c>
      <x:c r="W4" s="14" t="str">
        <x:v>复测人</x:v>
      </x:c>
      <x:c r="X4" s="14" t="str">
        <x:v>复测结论</x:v>
      </x:c>
      <x:c r="Y4" s="14" t="str">
        <x:v>关闭日期</x:v>
      </x:c>
      <x:c r="Z4" s="14" t="str">
        <x:v>遗留风险/备注</x:v>
      </x:c>
    </x:row>
    <x:row r="5" ht="44" customHeight="1">
      <x:c r="A5" s="20" t="str"/>
      <x:c r="B5" s="30" t="str"/>
      <x:c r="C5" s="20" t="str"/>
      <x:c r="D5" s="20" t="str"/>
      <x:c r="E5" s="20" t="str"/>
      <x:c r="F5" s="20" t="str"/>
      <x:c r="G5" s="20" t="str"/>
      <x:c r="H5" s="20" t="str"/>
      <x:c r="I5" s="20" t="str"/>
      <x:c r="J5" s="24" t="str"/>
      <x:c r="K5" s="24" t="str"/>
      <x:c r="L5" s="24" t="str"/>
      <x:c r="M5" s="24" t="str">
        <x:f>IF(A5="","",IFERROR(VLOOKUP(J5,'口径与下拉'!$A$9:$B$14,2,FALSE),0)+IFERROR(VLOOKUP(K5,'口径与下拉'!$D$9:$E$14,2,FALSE),0)+L5)</x:f>
      </x:c>
      <x:c r="N5" s="24" t="str">
        <x:f>IF(M5="","",IF(M5&gt;=13,"P0",IF(M5&gt;=10,"P1",IF(M5&gt;=7,"P2","P3"))))</x:f>
      </x:c>
      <x:c r="O5" s="20" t="str"/>
      <x:c r="P5" s="20" t="str"/>
      <x:c r="Q5" s="20" t="str"/>
      <x:c r="R5" s="20" t="str"/>
      <x:c r="S5" s="20" t="str"/>
      <x:c r="T5" s="20" t="str"/>
      <x:c r="U5" s="30" t="str"/>
      <x:c r="V5" s="20" t="str"/>
      <x:c r="W5" s="20" t="str"/>
      <x:c r="X5" s="20" t="str"/>
      <x:c r="Y5" s="30" t="str"/>
      <x:c r="Z5" s="20" t="str"/>
    </x:row>
    <x:row r="6" ht="44" customHeight="1">
      <x:c r="A6" s="21" t="str"/>
      <x:c r="B6" s="31" t="str"/>
      <x:c r="C6" s="21" t="str"/>
      <x:c r="D6" s="21" t="str"/>
      <x:c r="E6" s="21" t="str"/>
      <x:c r="F6" s="21" t="str"/>
      <x:c r="G6" s="21" t="str"/>
      <x:c r="H6" s="21" t="str"/>
      <x:c r="I6" s="21" t="str"/>
      <x:c r="J6" s="25" t="str"/>
      <x:c r="K6" s="25" t="str"/>
      <x:c r="L6" s="25" t="str"/>
      <x:c r="M6" s="25" t="str">
        <x:f>IF(A6="","",IFERROR(VLOOKUP(J6,'口径与下拉'!$A$9:$B$14,2,FALSE),0)+IFERROR(VLOOKUP(K6,'口径与下拉'!$D$9:$E$14,2,FALSE),0)+L6)</x:f>
      </x:c>
      <x:c r="N6" s="25" t="str">
        <x:f>IF(M6="","",IF(M6&gt;=13,"P0",IF(M6&gt;=10,"P1",IF(M6&gt;=7,"P2","P3"))))</x:f>
      </x:c>
      <x:c r="O6" s="21" t="str"/>
      <x:c r="P6" s="21" t="str"/>
      <x:c r="Q6" s="21" t="str"/>
      <x:c r="R6" s="21" t="str"/>
      <x:c r="S6" s="21" t="str"/>
      <x:c r="T6" s="21" t="str"/>
      <x:c r="U6" s="31" t="str"/>
      <x:c r="V6" s="21" t="str"/>
      <x:c r="W6" s="21" t="str"/>
      <x:c r="X6" s="21" t="str"/>
      <x:c r="Y6" s="31" t="str"/>
      <x:c r="Z6" s="21" t="str"/>
    </x:row>
    <x:row r="7" ht="44" customHeight="1">
      <x:c r="A7" s="21" t="str"/>
      <x:c r="B7" s="31" t="str"/>
      <x:c r="C7" s="21" t="str"/>
      <x:c r="D7" s="21" t="str"/>
      <x:c r="E7" s="21" t="str"/>
      <x:c r="F7" s="21" t="str"/>
      <x:c r="G7" s="21" t="str"/>
      <x:c r="H7" s="21" t="str"/>
      <x:c r="I7" s="21" t="str"/>
      <x:c r="J7" s="25" t="str"/>
      <x:c r="K7" s="25" t="str"/>
      <x:c r="L7" s="25" t="str"/>
      <x:c r="M7" s="25" t="str">
        <x:f>IF(A7="","",IFERROR(VLOOKUP(J7,'口径与下拉'!$A$9:$B$14,2,FALSE),0)+IFERROR(VLOOKUP(K7,'口径与下拉'!$D$9:$E$14,2,FALSE),0)+L7)</x:f>
      </x:c>
      <x:c r="N7" s="25" t="str">
        <x:f>IF(M7="","",IF(M7&gt;=13,"P0",IF(M7&gt;=10,"P1",IF(M7&gt;=7,"P2","P3"))))</x:f>
      </x:c>
      <x:c r="O7" s="21" t="str"/>
      <x:c r="P7" s="21" t="str"/>
      <x:c r="Q7" s="21" t="str"/>
      <x:c r="R7" s="21" t="str"/>
      <x:c r="S7" s="21" t="str"/>
      <x:c r="T7" s="21" t="str"/>
      <x:c r="U7" s="31" t="str"/>
      <x:c r="V7" s="21" t="str"/>
      <x:c r="W7" s="21" t="str"/>
      <x:c r="X7" s="21" t="str"/>
      <x:c r="Y7" s="31" t="str"/>
      <x:c r="Z7" s="21" t="str"/>
    </x:row>
    <x:row r="8" ht="44" customHeight="1">
      <x:c r="A8" s="21" t="str"/>
      <x:c r="B8" s="31" t="str"/>
      <x:c r="C8" s="21" t="str"/>
      <x:c r="D8" s="21" t="str"/>
      <x:c r="E8" s="21" t="str"/>
      <x:c r="F8" s="21" t="str"/>
      <x:c r="G8" s="21" t="str"/>
      <x:c r="H8" s="21" t="str"/>
      <x:c r="I8" s="21" t="str"/>
      <x:c r="J8" s="25" t="str"/>
      <x:c r="K8" s="25" t="str"/>
      <x:c r="L8" s="25" t="str"/>
      <x:c r="M8" s="25" t="str">
        <x:f>IF(A8="","",IFERROR(VLOOKUP(J8,'口径与下拉'!$A$9:$B$14,2,FALSE),0)+IFERROR(VLOOKUP(K8,'口径与下拉'!$D$9:$E$14,2,FALSE),0)+L8)</x:f>
      </x:c>
      <x:c r="N8" s="25" t="str">
        <x:f>IF(M8="","",IF(M8&gt;=13,"P0",IF(M8&gt;=10,"P1",IF(M8&gt;=7,"P2","P3"))))</x:f>
      </x:c>
      <x:c r="O8" s="21" t="str"/>
      <x:c r="P8" s="21" t="str"/>
      <x:c r="Q8" s="21" t="str"/>
      <x:c r="R8" s="21" t="str"/>
      <x:c r="S8" s="21" t="str"/>
      <x:c r="T8" s="21" t="str"/>
      <x:c r="U8" s="31" t="str"/>
      <x:c r="V8" s="21" t="str"/>
      <x:c r="W8" s="21" t="str"/>
      <x:c r="X8" s="21" t="str"/>
      <x:c r="Y8" s="31" t="str"/>
      <x:c r="Z8" s="21" t="str"/>
    </x:row>
    <x:row r="9" ht="44" customHeight="1">
      <x:c r="A9" s="21" t="str"/>
      <x:c r="B9" s="31" t="str"/>
      <x:c r="C9" s="21" t="str"/>
      <x:c r="D9" s="21" t="str"/>
      <x:c r="E9" s="21" t="str"/>
      <x:c r="F9" s="21" t="str"/>
      <x:c r="G9" s="21" t="str"/>
      <x:c r="H9" s="21" t="str"/>
      <x:c r="I9" s="21" t="str"/>
      <x:c r="J9" s="25" t="str"/>
      <x:c r="K9" s="25" t="str"/>
      <x:c r="L9" s="25" t="str"/>
      <x:c r="M9" s="25" t="str">
        <x:f>IF(A9="","",IFERROR(VLOOKUP(J9,'口径与下拉'!$A$9:$B$14,2,FALSE),0)+IFERROR(VLOOKUP(K9,'口径与下拉'!$D$9:$E$14,2,FALSE),0)+L9)</x:f>
      </x:c>
      <x:c r="N9" s="25" t="str">
        <x:f>IF(M9="","",IF(M9&gt;=13,"P0",IF(M9&gt;=10,"P1",IF(M9&gt;=7,"P2","P3"))))</x:f>
      </x:c>
      <x:c r="O9" s="21" t="str"/>
      <x:c r="P9" s="21" t="str"/>
      <x:c r="Q9" s="21" t="str"/>
      <x:c r="R9" s="21" t="str"/>
      <x:c r="S9" s="21" t="str"/>
      <x:c r="T9" s="21" t="str"/>
      <x:c r="U9" s="31" t="str"/>
      <x:c r="V9" s="21" t="str"/>
      <x:c r="W9" s="21" t="str"/>
      <x:c r="X9" s="21" t="str"/>
      <x:c r="Y9" s="31" t="str"/>
      <x:c r="Z9" s="21" t="str"/>
    </x:row>
    <x:row r="10" ht="44" customHeight="1">
      <x:c r="A10" s="21" t="str"/>
      <x:c r="B10" s="31" t="str"/>
      <x:c r="C10" s="21" t="str"/>
      <x:c r="D10" s="21" t="str"/>
      <x:c r="E10" s="21" t="str"/>
      <x:c r="F10" s="21" t="str"/>
      <x:c r="G10" s="21" t="str"/>
      <x:c r="H10" s="21" t="str"/>
      <x:c r="I10" s="21" t="str"/>
      <x:c r="J10" s="25" t="str"/>
      <x:c r="K10" s="25" t="str"/>
      <x:c r="L10" s="25" t="str"/>
      <x:c r="M10" s="25" t="str">
        <x:f>IF(A10="","",IFERROR(VLOOKUP(J10,'口径与下拉'!$A$9:$B$14,2,FALSE),0)+IFERROR(VLOOKUP(K10,'口径与下拉'!$D$9:$E$14,2,FALSE),0)+L10)</x:f>
      </x:c>
      <x:c r="N10" s="25" t="str">
        <x:f>IF(M10="","",IF(M10&gt;=13,"P0",IF(M10&gt;=10,"P1",IF(M10&gt;=7,"P2","P3"))))</x:f>
      </x:c>
      <x:c r="O10" s="21" t="str"/>
      <x:c r="P10" s="21" t="str"/>
      <x:c r="Q10" s="21" t="str"/>
      <x:c r="R10" s="21" t="str"/>
      <x:c r="S10" s="21" t="str"/>
      <x:c r="T10" s="21" t="str"/>
      <x:c r="U10" s="31" t="str"/>
      <x:c r="V10" s="21" t="str"/>
      <x:c r="W10" s="21" t="str"/>
      <x:c r="X10" s="21" t="str"/>
      <x:c r="Y10" s="31" t="str"/>
      <x:c r="Z10" s="21" t="str"/>
    </x:row>
    <x:row r="11" ht="44" customHeight="1">
      <x:c r="A11" s="21" t="str"/>
      <x:c r="B11" s="31" t="str"/>
      <x:c r="C11" s="21" t="str"/>
      <x:c r="D11" s="21" t="str"/>
      <x:c r="E11" s="21" t="str"/>
      <x:c r="F11" s="21" t="str"/>
      <x:c r="G11" s="21" t="str"/>
      <x:c r="H11" s="21" t="str"/>
      <x:c r="I11" s="21" t="str"/>
      <x:c r="J11" s="25" t="str"/>
      <x:c r="K11" s="25" t="str"/>
      <x:c r="L11" s="25" t="str"/>
      <x:c r="M11" s="25" t="str">
        <x:f>IF(A11="","",IFERROR(VLOOKUP(J11,'口径与下拉'!$A$9:$B$14,2,FALSE),0)+IFERROR(VLOOKUP(K11,'口径与下拉'!$D$9:$E$14,2,FALSE),0)+L11)</x:f>
      </x:c>
      <x:c r="N11" s="25" t="str">
        <x:f>IF(M11="","",IF(M11&gt;=13,"P0",IF(M11&gt;=10,"P1",IF(M11&gt;=7,"P2","P3"))))</x:f>
      </x:c>
      <x:c r="O11" s="21" t="str"/>
      <x:c r="P11" s="21" t="str"/>
      <x:c r="Q11" s="21" t="str"/>
      <x:c r="R11" s="21" t="str"/>
      <x:c r="S11" s="21" t="str"/>
      <x:c r="T11" s="21" t="str"/>
      <x:c r="U11" s="31" t="str"/>
      <x:c r="V11" s="21" t="str"/>
      <x:c r="W11" s="21" t="str"/>
      <x:c r="X11" s="21" t="str"/>
      <x:c r="Y11" s="31" t="str"/>
      <x:c r="Z11" s="21" t="str"/>
    </x:row>
    <x:row r="12" ht="44" customHeight="1">
      <x:c r="A12" s="21" t="str"/>
      <x:c r="B12" s="31" t="str"/>
      <x:c r="C12" s="21" t="str"/>
      <x:c r="D12" s="21" t="str"/>
      <x:c r="E12" s="21" t="str"/>
      <x:c r="F12" s="21" t="str"/>
      <x:c r="G12" s="21" t="str"/>
      <x:c r="H12" s="21" t="str"/>
      <x:c r="I12" s="21" t="str"/>
      <x:c r="J12" s="25" t="str"/>
      <x:c r="K12" s="25" t="str"/>
      <x:c r="L12" s="25" t="str"/>
      <x:c r="M12" s="25" t="str">
        <x:f>IF(A12="","",IFERROR(VLOOKUP(J12,'口径与下拉'!$A$9:$B$14,2,FALSE),0)+IFERROR(VLOOKUP(K12,'口径与下拉'!$D$9:$E$14,2,FALSE),0)+L12)</x:f>
      </x:c>
      <x:c r="N12" s="25" t="str">
        <x:f>IF(M12="","",IF(M12&gt;=13,"P0",IF(M12&gt;=10,"P1",IF(M12&gt;=7,"P2","P3"))))</x:f>
      </x:c>
      <x:c r="O12" s="21" t="str"/>
      <x:c r="P12" s="21" t="str"/>
      <x:c r="Q12" s="21" t="str"/>
      <x:c r="R12" s="21" t="str"/>
      <x:c r="S12" s="21" t="str"/>
      <x:c r="T12" s="21" t="str"/>
      <x:c r="U12" s="31" t="str"/>
      <x:c r="V12" s="21" t="str"/>
      <x:c r="W12" s="21" t="str"/>
      <x:c r="X12" s="21" t="str"/>
      <x:c r="Y12" s="31" t="str"/>
      <x:c r="Z12" s="21" t="str"/>
    </x:row>
    <x:row r="13" ht="44" customHeight="1">
      <x:c r="A13" s="21" t="str"/>
      <x:c r="B13" s="31" t="str"/>
      <x:c r="C13" s="21" t="str"/>
      <x:c r="D13" s="21" t="str"/>
      <x:c r="E13" s="21" t="str"/>
      <x:c r="F13" s="21" t="str"/>
      <x:c r="G13" s="21" t="str"/>
      <x:c r="H13" s="21" t="str"/>
      <x:c r="I13" s="21" t="str"/>
      <x:c r="J13" s="25" t="str"/>
      <x:c r="K13" s="25" t="str"/>
      <x:c r="L13" s="25" t="str"/>
      <x:c r="M13" s="25" t="str">
        <x:f>IF(A13="","",IFERROR(VLOOKUP(J13,'口径与下拉'!$A$9:$B$14,2,FALSE),0)+IFERROR(VLOOKUP(K13,'口径与下拉'!$D$9:$E$14,2,FALSE),0)+L13)</x:f>
      </x:c>
      <x:c r="N13" s="25" t="str">
        <x:f>IF(M13="","",IF(M13&gt;=13,"P0",IF(M13&gt;=10,"P1",IF(M13&gt;=7,"P2","P3"))))</x:f>
      </x:c>
      <x:c r="O13" s="21" t="str"/>
      <x:c r="P13" s="21" t="str"/>
      <x:c r="Q13" s="21" t="str"/>
      <x:c r="R13" s="21" t="str"/>
      <x:c r="S13" s="21" t="str"/>
      <x:c r="T13" s="21" t="str"/>
      <x:c r="U13" s="31" t="str"/>
      <x:c r="V13" s="21" t="str"/>
      <x:c r="W13" s="21" t="str"/>
      <x:c r="X13" s="21" t="str"/>
      <x:c r="Y13" s="31" t="str"/>
      <x:c r="Z13" s="21" t="str"/>
    </x:row>
    <x:row r="14" ht="44" customHeight="1">
      <x:c r="A14" s="21" t="str"/>
      <x:c r="B14" s="31" t="str"/>
      <x:c r="C14" s="21" t="str"/>
      <x:c r="D14" s="21" t="str"/>
      <x:c r="E14" s="21" t="str"/>
      <x:c r="F14" s="21" t="str"/>
      <x:c r="G14" s="21" t="str"/>
      <x:c r="H14" s="21" t="str"/>
      <x:c r="I14" s="21" t="str"/>
      <x:c r="J14" s="25" t="str"/>
      <x:c r="K14" s="25" t="str"/>
      <x:c r="L14" s="25" t="str"/>
      <x:c r="M14" s="25" t="str">
        <x:f>IF(A14="","",IFERROR(VLOOKUP(J14,'口径与下拉'!$A$9:$B$14,2,FALSE),0)+IFERROR(VLOOKUP(K14,'口径与下拉'!$D$9:$E$14,2,FALSE),0)+L14)</x:f>
      </x:c>
      <x:c r="N14" s="25" t="str">
        <x:f>IF(M14="","",IF(M14&gt;=13,"P0",IF(M14&gt;=10,"P1",IF(M14&gt;=7,"P2","P3"))))</x:f>
      </x:c>
      <x:c r="O14" s="21" t="str"/>
      <x:c r="P14" s="21" t="str"/>
      <x:c r="Q14" s="21" t="str"/>
      <x:c r="R14" s="21" t="str"/>
      <x:c r="S14" s="21" t="str"/>
      <x:c r="T14" s="21" t="str"/>
      <x:c r="U14" s="31" t="str"/>
      <x:c r="V14" s="21" t="str"/>
      <x:c r="W14" s="21" t="str"/>
      <x:c r="X14" s="21" t="str"/>
      <x:c r="Y14" s="31" t="str"/>
      <x:c r="Z14" s="21" t="str"/>
    </x:row>
    <x:row r="15" ht="44" customHeight="1">
      <x:c r="A15" s="21" t="str"/>
      <x:c r="B15" s="31" t="str"/>
      <x:c r="C15" s="21" t="str"/>
      <x:c r="D15" s="21" t="str"/>
      <x:c r="E15" s="21" t="str"/>
      <x:c r="F15" s="21" t="str"/>
      <x:c r="G15" s="21" t="str"/>
      <x:c r="H15" s="21" t="str"/>
      <x:c r="I15" s="21" t="str"/>
      <x:c r="J15" s="25" t="str"/>
      <x:c r="K15" s="25" t="str"/>
      <x:c r="L15" s="25" t="str"/>
      <x:c r="M15" s="25" t="str">
        <x:f>IF(A15="","",IFERROR(VLOOKUP(J15,'口径与下拉'!$A$9:$B$14,2,FALSE),0)+IFERROR(VLOOKUP(K15,'口径与下拉'!$D$9:$E$14,2,FALSE),0)+L15)</x:f>
      </x:c>
      <x:c r="N15" s="25" t="str">
        <x:f>IF(M15="","",IF(M15&gt;=13,"P0",IF(M15&gt;=10,"P1",IF(M15&gt;=7,"P2","P3"))))</x:f>
      </x:c>
      <x:c r="O15" s="21" t="str"/>
      <x:c r="P15" s="21" t="str"/>
      <x:c r="Q15" s="21" t="str"/>
      <x:c r="R15" s="21" t="str"/>
      <x:c r="S15" s="21" t="str"/>
      <x:c r="T15" s="21" t="str"/>
      <x:c r="U15" s="31" t="str"/>
      <x:c r="V15" s="21" t="str"/>
      <x:c r="W15" s="21" t="str"/>
      <x:c r="X15" s="21" t="str"/>
      <x:c r="Y15" s="31" t="str"/>
      <x:c r="Z15" s="21" t="str"/>
    </x:row>
    <x:row r="16" ht="44" customHeight="1">
      <x:c r="A16" s="21" t="str"/>
      <x:c r="B16" s="31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5" t="str"/>
      <x:c r="K16" s="25" t="str"/>
      <x:c r="L16" s="25" t="str"/>
      <x:c r="M16" s="25" t="str">
        <x:f>IF(A16="","",IFERROR(VLOOKUP(J16,'口径与下拉'!$A$9:$B$14,2,FALSE),0)+IFERROR(VLOOKUP(K16,'口径与下拉'!$D$9:$E$14,2,FALSE),0)+L16)</x:f>
      </x:c>
      <x:c r="N16" s="25" t="str">
        <x:f>IF(M16="","",IF(M16&gt;=13,"P0",IF(M16&gt;=10,"P1",IF(M16&gt;=7,"P2","P3"))))</x:f>
      </x:c>
      <x:c r="O16" s="21" t="str"/>
      <x:c r="P16" s="21" t="str"/>
      <x:c r="Q16" s="21" t="str"/>
      <x:c r="R16" s="21" t="str"/>
      <x:c r="S16" s="21" t="str"/>
      <x:c r="T16" s="21" t="str"/>
      <x:c r="U16" s="31" t="str"/>
      <x:c r="V16" s="21" t="str"/>
      <x:c r="W16" s="21" t="str"/>
      <x:c r="X16" s="21" t="str"/>
      <x:c r="Y16" s="31" t="str"/>
      <x:c r="Z16" s="21" t="str"/>
    </x:row>
    <x:row r="17" ht="44" customHeight="1">
      <x:c r="A17" s="21" t="str"/>
      <x:c r="B17" s="31" t="str"/>
      <x:c r="C17" s="21" t="str"/>
      <x:c r="D17" s="21" t="str"/>
      <x:c r="E17" s="21" t="str"/>
      <x:c r="F17" s="21" t="str"/>
      <x:c r="G17" s="21" t="str"/>
      <x:c r="H17" s="21" t="str"/>
      <x:c r="I17" s="21" t="str"/>
      <x:c r="J17" s="25" t="str"/>
      <x:c r="K17" s="25" t="str"/>
      <x:c r="L17" s="25" t="str"/>
      <x:c r="M17" s="25" t="str">
        <x:f>IF(A17="","",IFERROR(VLOOKUP(J17,'口径与下拉'!$A$9:$B$14,2,FALSE),0)+IFERROR(VLOOKUP(K17,'口径与下拉'!$D$9:$E$14,2,FALSE),0)+L17)</x:f>
      </x:c>
      <x:c r="N17" s="25" t="str">
        <x:f>IF(M17="","",IF(M17&gt;=13,"P0",IF(M17&gt;=10,"P1",IF(M17&gt;=7,"P2","P3"))))</x:f>
      </x:c>
      <x:c r="O17" s="21" t="str"/>
      <x:c r="P17" s="21" t="str"/>
      <x:c r="Q17" s="21" t="str"/>
      <x:c r="R17" s="21" t="str"/>
      <x:c r="S17" s="21" t="str"/>
      <x:c r="T17" s="21" t="str"/>
      <x:c r="U17" s="31" t="str"/>
      <x:c r="V17" s="21" t="str"/>
      <x:c r="W17" s="21" t="str"/>
      <x:c r="X17" s="21" t="str"/>
      <x:c r="Y17" s="31" t="str"/>
      <x:c r="Z17" s="21" t="str"/>
    </x:row>
    <x:row r="18" ht="44" customHeight="1">
      <x:c r="A18" s="21" t="str"/>
      <x:c r="B18" s="31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5" t="str"/>
      <x:c r="K18" s="25" t="str"/>
      <x:c r="L18" s="25" t="str"/>
      <x:c r="M18" s="25" t="str">
        <x:f>IF(A18="","",IFERROR(VLOOKUP(J18,'口径与下拉'!$A$9:$B$14,2,FALSE),0)+IFERROR(VLOOKUP(K18,'口径与下拉'!$D$9:$E$14,2,FALSE),0)+L18)</x:f>
      </x:c>
      <x:c r="N18" s="25" t="str">
        <x:f>IF(M18="","",IF(M18&gt;=13,"P0",IF(M18&gt;=10,"P1",IF(M18&gt;=7,"P2","P3"))))</x:f>
      </x:c>
      <x:c r="O18" s="21" t="str"/>
      <x:c r="P18" s="21" t="str"/>
      <x:c r="Q18" s="21" t="str"/>
      <x:c r="R18" s="21" t="str"/>
      <x:c r="S18" s="21" t="str"/>
      <x:c r="T18" s="21" t="str"/>
      <x:c r="U18" s="31" t="str"/>
      <x:c r="V18" s="21" t="str"/>
      <x:c r="W18" s="21" t="str"/>
      <x:c r="X18" s="21" t="str"/>
      <x:c r="Y18" s="31" t="str"/>
      <x:c r="Z18" s="21" t="str"/>
    </x:row>
    <x:row r="19" ht="44" customHeight="1">
      <x:c r="A19" s="21" t="str"/>
      <x:c r="B19" s="31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5" t="str"/>
      <x:c r="K19" s="25" t="str"/>
      <x:c r="L19" s="25" t="str"/>
      <x:c r="M19" s="25" t="str">
        <x:f>IF(A19="","",IFERROR(VLOOKUP(J19,'口径与下拉'!$A$9:$B$14,2,FALSE),0)+IFERROR(VLOOKUP(K19,'口径与下拉'!$D$9:$E$14,2,FALSE),0)+L19)</x:f>
      </x:c>
      <x:c r="N19" s="25" t="str">
        <x:f>IF(M19="","",IF(M19&gt;=13,"P0",IF(M19&gt;=10,"P1",IF(M19&gt;=7,"P2","P3"))))</x:f>
      </x:c>
      <x:c r="O19" s="21" t="str"/>
      <x:c r="P19" s="21" t="str"/>
      <x:c r="Q19" s="21" t="str"/>
      <x:c r="R19" s="21" t="str"/>
      <x:c r="S19" s="21" t="str"/>
      <x:c r="T19" s="21" t="str"/>
      <x:c r="U19" s="31" t="str"/>
      <x:c r="V19" s="21" t="str"/>
      <x:c r="W19" s="21" t="str"/>
      <x:c r="X19" s="21" t="str"/>
      <x:c r="Y19" s="31" t="str"/>
      <x:c r="Z19" s="21" t="str"/>
    </x:row>
    <x:row r="20" ht="44" customHeight="1">
      <x:c r="A20" s="21" t="str"/>
      <x:c r="B20" s="31" t="str"/>
      <x:c r="C20" s="21" t="str"/>
      <x:c r="D20" s="21" t="str"/>
      <x:c r="E20" s="21" t="str"/>
      <x:c r="F20" s="21" t="str"/>
      <x:c r="G20" s="21" t="str"/>
      <x:c r="H20" s="21" t="str"/>
      <x:c r="I20" s="21" t="str"/>
      <x:c r="J20" s="25" t="str"/>
      <x:c r="K20" s="25" t="str"/>
      <x:c r="L20" s="25" t="str"/>
      <x:c r="M20" s="25" t="str">
        <x:f>IF(A20="","",IFERROR(VLOOKUP(J20,'口径与下拉'!$A$9:$B$14,2,FALSE),0)+IFERROR(VLOOKUP(K20,'口径与下拉'!$D$9:$E$14,2,FALSE),0)+L20)</x:f>
      </x:c>
      <x:c r="N20" s="25" t="str">
        <x:f>IF(M20="","",IF(M20&gt;=13,"P0",IF(M20&gt;=10,"P1",IF(M20&gt;=7,"P2","P3"))))</x:f>
      </x:c>
      <x:c r="O20" s="21" t="str"/>
      <x:c r="P20" s="21" t="str"/>
      <x:c r="Q20" s="21" t="str"/>
      <x:c r="R20" s="21" t="str"/>
      <x:c r="S20" s="21" t="str"/>
      <x:c r="T20" s="21" t="str"/>
      <x:c r="U20" s="31" t="str"/>
      <x:c r="V20" s="21" t="str"/>
      <x:c r="W20" s="21" t="str"/>
      <x:c r="X20" s="21" t="str"/>
      <x:c r="Y20" s="31" t="str"/>
      <x:c r="Z20" s="21" t="str"/>
    </x:row>
    <x:row r="21" ht="44" customHeight="1">
      <x:c r="A21" s="21" t="str"/>
      <x:c r="B21" s="31" t="str"/>
      <x:c r="C21" s="21" t="str"/>
      <x:c r="D21" s="21" t="str"/>
      <x:c r="E21" s="21" t="str"/>
      <x:c r="F21" s="21" t="str"/>
      <x:c r="G21" s="21" t="str"/>
      <x:c r="H21" s="21" t="str"/>
      <x:c r="I21" s="21" t="str"/>
      <x:c r="J21" s="25" t="str"/>
      <x:c r="K21" s="25" t="str"/>
      <x:c r="L21" s="25" t="str"/>
      <x:c r="M21" s="25" t="str">
        <x:f>IF(A21="","",IFERROR(VLOOKUP(J21,'口径与下拉'!$A$9:$B$14,2,FALSE),0)+IFERROR(VLOOKUP(K21,'口径与下拉'!$D$9:$E$14,2,FALSE),0)+L21)</x:f>
      </x:c>
      <x:c r="N21" s="25" t="str">
        <x:f>IF(M21="","",IF(M21&gt;=13,"P0",IF(M21&gt;=10,"P1",IF(M21&gt;=7,"P2","P3"))))</x:f>
      </x:c>
      <x:c r="O21" s="21" t="str"/>
      <x:c r="P21" s="21" t="str"/>
      <x:c r="Q21" s="21" t="str"/>
      <x:c r="R21" s="21" t="str"/>
      <x:c r="S21" s="21" t="str"/>
      <x:c r="T21" s="21" t="str"/>
      <x:c r="U21" s="31" t="str"/>
      <x:c r="V21" s="21" t="str"/>
      <x:c r="W21" s="21" t="str"/>
      <x:c r="X21" s="21" t="str"/>
      <x:c r="Y21" s="31" t="str"/>
      <x:c r="Z21" s="21" t="str"/>
    </x:row>
    <x:row r="22" ht="44" customHeight="1">
      <x:c r="A22" s="21" t="str"/>
      <x:c r="B22" s="31" t="str"/>
      <x:c r="C22" s="21" t="str"/>
      <x:c r="D22" s="21" t="str"/>
      <x:c r="E22" s="21" t="str"/>
      <x:c r="F22" s="21" t="str"/>
      <x:c r="G22" s="21" t="str"/>
      <x:c r="H22" s="21" t="str"/>
      <x:c r="I22" s="21" t="str"/>
      <x:c r="J22" s="25" t="str"/>
      <x:c r="K22" s="25" t="str"/>
      <x:c r="L22" s="25" t="str"/>
      <x:c r="M22" s="25" t="str">
        <x:f>IF(A22="","",IFERROR(VLOOKUP(J22,'口径与下拉'!$A$9:$B$14,2,FALSE),0)+IFERROR(VLOOKUP(K22,'口径与下拉'!$D$9:$E$14,2,FALSE),0)+L22)</x:f>
      </x:c>
      <x:c r="N22" s="25" t="str">
        <x:f>IF(M22="","",IF(M22&gt;=13,"P0",IF(M22&gt;=10,"P1",IF(M22&gt;=7,"P2","P3"))))</x:f>
      </x:c>
      <x:c r="O22" s="21" t="str"/>
      <x:c r="P22" s="21" t="str"/>
      <x:c r="Q22" s="21" t="str"/>
      <x:c r="R22" s="21" t="str"/>
      <x:c r="S22" s="21" t="str"/>
      <x:c r="T22" s="21" t="str"/>
      <x:c r="U22" s="31" t="str"/>
      <x:c r="V22" s="21" t="str"/>
      <x:c r="W22" s="21" t="str"/>
      <x:c r="X22" s="21" t="str"/>
      <x:c r="Y22" s="31" t="str"/>
      <x:c r="Z22" s="21" t="str"/>
    </x:row>
    <x:row r="23" ht="44" customHeight="1">
      <x:c r="A23" s="21" t="str"/>
      <x:c r="B23" s="31" t="str"/>
      <x:c r="C23" s="21" t="str"/>
      <x:c r="D23" s="21" t="str"/>
      <x:c r="E23" s="21" t="str"/>
      <x:c r="F23" s="21" t="str"/>
      <x:c r="G23" s="21" t="str"/>
      <x:c r="H23" s="21" t="str"/>
      <x:c r="I23" s="21" t="str"/>
      <x:c r="J23" s="25" t="str"/>
      <x:c r="K23" s="25" t="str"/>
      <x:c r="L23" s="25" t="str"/>
      <x:c r="M23" s="25" t="str">
        <x:f>IF(A23="","",IFERROR(VLOOKUP(J23,'口径与下拉'!$A$9:$B$14,2,FALSE),0)+IFERROR(VLOOKUP(K23,'口径与下拉'!$D$9:$E$14,2,FALSE),0)+L23)</x:f>
      </x:c>
      <x:c r="N23" s="25" t="str">
        <x:f>IF(M23="","",IF(M23&gt;=13,"P0",IF(M23&gt;=10,"P1",IF(M23&gt;=7,"P2","P3"))))</x:f>
      </x:c>
      <x:c r="O23" s="21" t="str"/>
      <x:c r="P23" s="21" t="str"/>
      <x:c r="Q23" s="21" t="str"/>
      <x:c r="R23" s="21" t="str"/>
      <x:c r="S23" s="21" t="str"/>
      <x:c r="T23" s="21" t="str"/>
      <x:c r="U23" s="31" t="str"/>
      <x:c r="V23" s="21" t="str"/>
      <x:c r="W23" s="21" t="str"/>
      <x:c r="X23" s="21" t="str"/>
      <x:c r="Y23" s="31" t="str"/>
      <x:c r="Z23" s="21" t="str"/>
    </x:row>
    <x:row r="24" ht="44" customHeight="1">
      <x:c r="A24" s="21" t="str"/>
      <x:c r="B24" s="31" t="str"/>
      <x:c r="C24" s="21" t="str"/>
      <x:c r="D24" s="21" t="str"/>
      <x:c r="E24" s="21" t="str"/>
      <x:c r="F24" s="21" t="str"/>
      <x:c r="G24" s="21" t="str"/>
      <x:c r="H24" s="21" t="str"/>
      <x:c r="I24" s="21" t="str"/>
      <x:c r="J24" s="25" t="str"/>
      <x:c r="K24" s="25" t="str"/>
      <x:c r="L24" s="25" t="str"/>
      <x:c r="M24" s="25" t="str">
        <x:f>IF(A24="","",IFERROR(VLOOKUP(J24,'口径与下拉'!$A$9:$B$14,2,FALSE),0)+IFERROR(VLOOKUP(K24,'口径与下拉'!$D$9:$E$14,2,FALSE),0)+L24)</x:f>
      </x:c>
      <x:c r="N24" s="25" t="str">
        <x:f>IF(M24="","",IF(M24&gt;=13,"P0",IF(M24&gt;=10,"P1",IF(M24&gt;=7,"P2","P3"))))</x:f>
      </x:c>
      <x:c r="O24" s="21" t="str"/>
      <x:c r="P24" s="21" t="str"/>
      <x:c r="Q24" s="21" t="str"/>
      <x:c r="R24" s="21" t="str"/>
      <x:c r="S24" s="21" t="str"/>
      <x:c r="T24" s="21" t="str"/>
      <x:c r="U24" s="31" t="str"/>
      <x:c r="V24" s="21" t="str"/>
      <x:c r="W24" s="21" t="str"/>
      <x:c r="X24" s="21" t="str"/>
      <x:c r="Y24" s="31" t="str"/>
      <x:c r="Z24" s="21" t="str"/>
    </x:row>
    <x:row r="25" ht="44" customHeight="1">
      <x:c r="A25" s="21" t="str"/>
      <x:c r="B25" s="31" t="str"/>
      <x:c r="C25" s="21" t="str"/>
      <x:c r="D25" s="21" t="str"/>
      <x:c r="E25" s="21" t="str"/>
      <x:c r="F25" s="21" t="str"/>
      <x:c r="G25" s="21" t="str"/>
      <x:c r="H25" s="21" t="str"/>
      <x:c r="I25" s="21" t="str"/>
      <x:c r="J25" s="25" t="str"/>
      <x:c r="K25" s="25" t="str"/>
      <x:c r="L25" s="25" t="str"/>
      <x:c r="M25" s="25" t="str">
        <x:f>IF(A25="","",IFERROR(VLOOKUP(J25,'口径与下拉'!$A$9:$B$14,2,FALSE),0)+IFERROR(VLOOKUP(K25,'口径与下拉'!$D$9:$E$14,2,FALSE),0)+L25)</x:f>
      </x:c>
      <x:c r="N25" s="25" t="str">
        <x:f>IF(M25="","",IF(M25&gt;=13,"P0",IF(M25&gt;=10,"P1",IF(M25&gt;=7,"P2","P3"))))</x:f>
      </x:c>
      <x:c r="O25" s="21" t="str"/>
      <x:c r="P25" s="21" t="str"/>
      <x:c r="Q25" s="21" t="str"/>
      <x:c r="R25" s="21" t="str"/>
      <x:c r="S25" s="21" t="str"/>
      <x:c r="T25" s="21" t="str"/>
      <x:c r="U25" s="31" t="str"/>
      <x:c r="V25" s="21" t="str"/>
      <x:c r="W25" s="21" t="str"/>
      <x:c r="X25" s="21" t="str"/>
      <x:c r="Y25" s="31" t="str"/>
      <x:c r="Z25" s="21" t="str"/>
    </x:row>
    <x:row r="26" ht="44" customHeight="1">
      <x:c r="A26" s="21" t="str"/>
      <x:c r="B26" s="31" t="str"/>
      <x:c r="C26" s="21" t="str"/>
      <x:c r="D26" s="21" t="str"/>
      <x:c r="E26" s="21" t="str"/>
      <x:c r="F26" s="21" t="str"/>
      <x:c r="G26" s="21" t="str"/>
      <x:c r="H26" s="21" t="str"/>
      <x:c r="I26" s="21" t="str"/>
      <x:c r="J26" s="25" t="str"/>
      <x:c r="K26" s="25" t="str"/>
      <x:c r="L26" s="25" t="str"/>
      <x:c r="M26" s="25" t="str">
        <x:f>IF(A26="","",IFERROR(VLOOKUP(J26,'口径与下拉'!$A$9:$B$14,2,FALSE),0)+IFERROR(VLOOKUP(K26,'口径与下拉'!$D$9:$E$14,2,FALSE),0)+L26)</x:f>
      </x:c>
      <x:c r="N26" s="25" t="str">
        <x:f>IF(M26="","",IF(M26&gt;=13,"P0",IF(M26&gt;=10,"P1",IF(M26&gt;=7,"P2","P3"))))</x:f>
      </x:c>
      <x:c r="O26" s="21" t="str"/>
      <x:c r="P26" s="21" t="str"/>
      <x:c r="Q26" s="21" t="str"/>
      <x:c r="R26" s="21" t="str"/>
      <x:c r="S26" s="21" t="str"/>
      <x:c r="T26" s="21" t="str"/>
      <x:c r="U26" s="31" t="str"/>
      <x:c r="V26" s="21" t="str"/>
      <x:c r="W26" s="21" t="str"/>
      <x:c r="X26" s="21" t="str"/>
      <x:c r="Y26" s="31" t="str"/>
      <x:c r="Z26" s="21" t="str"/>
    </x:row>
    <x:row r="27" ht="44" customHeight="1">
      <x:c r="A27" s="21" t="str"/>
      <x:c r="B27" s="31" t="str"/>
      <x:c r="C27" s="21" t="str"/>
      <x:c r="D27" s="21" t="str"/>
      <x:c r="E27" s="21" t="str"/>
      <x:c r="F27" s="21" t="str"/>
      <x:c r="G27" s="21" t="str"/>
      <x:c r="H27" s="21" t="str"/>
      <x:c r="I27" s="21" t="str"/>
      <x:c r="J27" s="25" t="str"/>
      <x:c r="K27" s="25" t="str"/>
      <x:c r="L27" s="25" t="str"/>
      <x:c r="M27" s="25" t="str">
        <x:f>IF(A27="","",IFERROR(VLOOKUP(J27,'口径与下拉'!$A$9:$B$14,2,FALSE),0)+IFERROR(VLOOKUP(K27,'口径与下拉'!$D$9:$E$14,2,FALSE),0)+L27)</x:f>
      </x:c>
      <x:c r="N27" s="25" t="str">
        <x:f>IF(M27="","",IF(M27&gt;=13,"P0",IF(M27&gt;=10,"P1",IF(M27&gt;=7,"P2","P3"))))</x:f>
      </x:c>
      <x:c r="O27" s="21" t="str"/>
      <x:c r="P27" s="21" t="str"/>
      <x:c r="Q27" s="21" t="str"/>
      <x:c r="R27" s="21" t="str"/>
      <x:c r="S27" s="21" t="str"/>
      <x:c r="T27" s="21" t="str"/>
      <x:c r="U27" s="31" t="str"/>
      <x:c r="V27" s="21" t="str"/>
      <x:c r="W27" s="21" t="str"/>
      <x:c r="X27" s="21" t="str"/>
      <x:c r="Y27" s="31" t="str"/>
      <x:c r="Z27" s="21" t="str"/>
    </x:row>
    <x:row r="28" ht="44" customHeight="1">
      <x:c r="A28" s="21" t="str"/>
      <x:c r="B28" s="31" t="str"/>
      <x:c r="C28" s="21" t="str"/>
      <x:c r="D28" s="21" t="str"/>
      <x:c r="E28" s="21" t="str"/>
      <x:c r="F28" s="21" t="str"/>
      <x:c r="G28" s="21" t="str"/>
      <x:c r="H28" s="21" t="str"/>
      <x:c r="I28" s="21" t="str"/>
      <x:c r="J28" s="25" t="str"/>
      <x:c r="K28" s="25" t="str"/>
      <x:c r="L28" s="25" t="str"/>
      <x:c r="M28" s="25" t="str">
        <x:f>IF(A28="","",IFERROR(VLOOKUP(J28,'口径与下拉'!$A$9:$B$14,2,FALSE),0)+IFERROR(VLOOKUP(K28,'口径与下拉'!$D$9:$E$14,2,FALSE),0)+L28)</x:f>
      </x:c>
      <x:c r="N28" s="25" t="str">
        <x:f>IF(M28="","",IF(M28&gt;=13,"P0",IF(M28&gt;=10,"P1",IF(M28&gt;=7,"P2","P3"))))</x:f>
      </x:c>
      <x:c r="O28" s="21" t="str"/>
      <x:c r="P28" s="21" t="str"/>
      <x:c r="Q28" s="21" t="str"/>
      <x:c r="R28" s="21" t="str"/>
      <x:c r="S28" s="21" t="str"/>
      <x:c r="T28" s="21" t="str"/>
      <x:c r="U28" s="31" t="str"/>
      <x:c r="V28" s="21" t="str"/>
      <x:c r="W28" s="21" t="str"/>
      <x:c r="X28" s="21" t="str"/>
      <x:c r="Y28" s="31" t="str"/>
      <x:c r="Z28" s="21" t="str"/>
    </x:row>
    <x:row r="29" ht="44" customHeight="1">
      <x:c r="A29" s="21" t="str"/>
      <x:c r="B29" s="31" t="str"/>
      <x:c r="C29" s="21" t="str"/>
      <x:c r="D29" s="21" t="str"/>
      <x:c r="E29" s="21" t="str"/>
      <x:c r="F29" s="21" t="str"/>
      <x:c r="G29" s="21" t="str"/>
      <x:c r="H29" s="21" t="str"/>
      <x:c r="I29" s="21" t="str"/>
      <x:c r="J29" s="25" t="str"/>
      <x:c r="K29" s="25" t="str"/>
      <x:c r="L29" s="25" t="str"/>
      <x:c r="M29" s="25" t="str">
        <x:f>IF(A29="","",IFERROR(VLOOKUP(J29,'口径与下拉'!$A$9:$B$14,2,FALSE),0)+IFERROR(VLOOKUP(K29,'口径与下拉'!$D$9:$E$14,2,FALSE),0)+L29)</x:f>
      </x:c>
      <x:c r="N29" s="25" t="str">
        <x:f>IF(M29="","",IF(M29&gt;=13,"P0",IF(M29&gt;=10,"P1",IF(M29&gt;=7,"P2","P3"))))</x:f>
      </x:c>
      <x:c r="O29" s="21" t="str"/>
      <x:c r="P29" s="21" t="str"/>
      <x:c r="Q29" s="21" t="str"/>
      <x:c r="R29" s="21" t="str"/>
      <x:c r="S29" s="21" t="str"/>
      <x:c r="T29" s="21" t="str"/>
      <x:c r="U29" s="31" t="str"/>
      <x:c r="V29" s="21" t="str"/>
      <x:c r="W29" s="21" t="str"/>
      <x:c r="X29" s="21" t="str"/>
      <x:c r="Y29" s="31" t="str"/>
      <x:c r="Z29" s="21" t="str"/>
    </x:row>
    <x:row r="30" ht="44" customHeight="1">
      <x:c r="A30" s="21" t="str"/>
      <x:c r="B30" s="31" t="str"/>
      <x:c r="C30" s="21" t="str"/>
      <x:c r="D30" s="21" t="str"/>
      <x:c r="E30" s="21" t="str"/>
      <x:c r="F30" s="21" t="str"/>
      <x:c r="G30" s="21" t="str"/>
      <x:c r="H30" s="21" t="str"/>
      <x:c r="I30" s="21" t="str"/>
      <x:c r="J30" s="25" t="str"/>
      <x:c r="K30" s="25" t="str"/>
      <x:c r="L30" s="25" t="str"/>
      <x:c r="M30" s="25" t="str">
        <x:f>IF(A30="","",IFERROR(VLOOKUP(J30,'口径与下拉'!$A$9:$B$14,2,FALSE),0)+IFERROR(VLOOKUP(K30,'口径与下拉'!$D$9:$E$14,2,FALSE),0)+L30)</x:f>
      </x:c>
      <x:c r="N30" s="25" t="str">
        <x:f>IF(M30="","",IF(M30&gt;=13,"P0",IF(M30&gt;=10,"P1",IF(M30&gt;=7,"P2","P3"))))</x:f>
      </x:c>
      <x:c r="O30" s="21" t="str"/>
      <x:c r="P30" s="21" t="str"/>
      <x:c r="Q30" s="21" t="str"/>
      <x:c r="R30" s="21" t="str"/>
      <x:c r="S30" s="21" t="str"/>
      <x:c r="T30" s="21" t="str"/>
      <x:c r="U30" s="31" t="str"/>
      <x:c r="V30" s="21" t="str"/>
      <x:c r="W30" s="21" t="str"/>
      <x:c r="X30" s="21" t="str"/>
      <x:c r="Y30" s="31" t="str"/>
      <x:c r="Z30" s="21" t="str"/>
    </x:row>
    <x:row r="31" ht="44" customHeight="1">
      <x:c r="A31" s="21" t="str"/>
      <x:c r="B31" s="31" t="str"/>
      <x:c r="C31" s="21" t="str"/>
      <x:c r="D31" s="21" t="str"/>
      <x:c r="E31" s="21" t="str"/>
      <x:c r="F31" s="21" t="str"/>
      <x:c r="G31" s="21" t="str"/>
      <x:c r="H31" s="21" t="str"/>
      <x:c r="I31" s="21" t="str"/>
      <x:c r="J31" s="25" t="str"/>
      <x:c r="K31" s="25" t="str"/>
      <x:c r="L31" s="25" t="str"/>
      <x:c r="M31" s="25" t="str">
        <x:f>IF(A31="","",IFERROR(VLOOKUP(J31,'口径与下拉'!$A$9:$B$14,2,FALSE),0)+IFERROR(VLOOKUP(K31,'口径与下拉'!$D$9:$E$14,2,FALSE),0)+L31)</x:f>
      </x:c>
      <x:c r="N31" s="25" t="str">
        <x:f>IF(M31="","",IF(M31&gt;=13,"P0",IF(M31&gt;=10,"P1",IF(M31&gt;=7,"P2","P3"))))</x:f>
      </x:c>
      <x:c r="O31" s="21" t="str"/>
      <x:c r="P31" s="21" t="str"/>
      <x:c r="Q31" s="21" t="str"/>
      <x:c r="R31" s="21" t="str"/>
      <x:c r="S31" s="21" t="str"/>
      <x:c r="T31" s="21" t="str"/>
      <x:c r="U31" s="31" t="str"/>
      <x:c r="V31" s="21" t="str"/>
      <x:c r="W31" s="21" t="str"/>
      <x:c r="X31" s="21" t="str"/>
      <x:c r="Y31" s="31" t="str"/>
      <x:c r="Z31" s="21" t="str"/>
    </x:row>
    <x:row r="32" ht="44" customHeight="1">
      <x:c r="A32" s="21" t="str"/>
      <x:c r="B32" s="31" t="str"/>
      <x:c r="C32" s="21" t="str"/>
      <x:c r="D32" s="21" t="str"/>
      <x:c r="E32" s="21" t="str"/>
      <x:c r="F32" s="21" t="str"/>
      <x:c r="G32" s="21" t="str"/>
      <x:c r="H32" s="21" t="str"/>
      <x:c r="I32" s="21" t="str"/>
      <x:c r="J32" s="25" t="str"/>
      <x:c r="K32" s="25" t="str"/>
      <x:c r="L32" s="25" t="str"/>
      <x:c r="M32" s="25" t="str">
        <x:f>IF(A32="","",IFERROR(VLOOKUP(J32,'口径与下拉'!$A$9:$B$14,2,FALSE),0)+IFERROR(VLOOKUP(K32,'口径与下拉'!$D$9:$E$14,2,FALSE),0)+L32)</x:f>
      </x:c>
      <x:c r="N32" s="25" t="str">
        <x:f>IF(M32="","",IF(M32&gt;=13,"P0",IF(M32&gt;=10,"P1",IF(M32&gt;=7,"P2","P3"))))</x:f>
      </x:c>
      <x:c r="O32" s="21" t="str"/>
      <x:c r="P32" s="21" t="str"/>
      <x:c r="Q32" s="21" t="str"/>
      <x:c r="R32" s="21" t="str"/>
      <x:c r="S32" s="21" t="str"/>
      <x:c r="T32" s="21" t="str"/>
      <x:c r="U32" s="31" t="str"/>
      <x:c r="V32" s="21" t="str"/>
      <x:c r="W32" s="21" t="str"/>
      <x:c r="X32" s="21" t="str"/>
      <x:c r="Y32" s="31" t="str"/>
      <x:c r="Z32" s="21" t="str"/>
    </x:row>
    <x:row r="33" ht="44" customHeight="1">
      <x:c r="A33" s="21" t="str"/>
      <x:c r="B33" s="31" t="str"/>
      <x:c r="C33" s="21" t="str"/>
      <x:c r="D33" s="21" t="str"/>
      <x:c r="E33" s="21" t="str"/>
      <x:c r="F33" s="21" t="str"/>
      <x:c r="G33" s="21" t="str"/>
      <x:c r="H33" s="21" t="str"/>
      <x:c r="I33" s="21" t="str"/>
      <x:c r="J33" s="25" t="str"/>
      <x:c r="K33" s="25" t="str"/>
      <x:c r="L33" s="25" t="str"/>
      <x:c r="M33" s="25" t="str">
        <x:f>IF(A33="","",IFERROR(VLOOKUP(J33,'口径与下拉'!$A$9:$B$14,2,FALSE),0)+IFERROR(VLOOKUP(K33,'口径与下拉'!$D$9:$E$14,2,FALSE),0)+L33)</x:f>
      </x:c>
      <x:c r="N33" s="25" t="str">
        <x:f>IF(M33="","",IF(M33&gt;=13,"P0",IF(M33&gt;=10,"P1",IF(M33&gt;=7,"P2","P3"))))</x:f>
      </x:c>
      <x:c r="O33" s="21" t="str"/>
      <x:c r="P33" s="21" t="str"/>
      <x:c r="Q33" s="21" t="str"/>
      <x:c r="R33" s="21" t="str"/>
      <x:c r="S33" s="21" t="str"/>
      <x:c r="T33" s="21" t="str"/>
      <x:c r="U33" s="31" t="str"/>
      <x:c r="V33" s="21" t="str"/>
      <x:c r="W33" s="21" t="str"/>
      <x:c r="X33" s="21" t="str"/>
      <x:c r="Y33" s="31" t="str"/>
      <x:c r="Z33" s="21" t="str"/>
    </x:row>
    <x:row r="34" ht="44" customHeight="1">
      <x:c r="A34" s="21" t="str"/>
      <x:c r="B34" s="31" t="str"/>
      <x:c r="C34" s="21" t="str"/>
      <x:c r="D34" s="21" t="str"/>
      <x:c r="E34" s="21" t="str"/>
      <x:c r="F34" s="21" t="str"/>
      <x:c r="G34" s="21" t="str"/>
      <x:c r="H34" s="21" t="str"/>
      <x:c r="I34" s="21" t="str"/>
      <x:c r="J34" s="25" t="str"/>
      <x:c r="K34" s="25" t="str"/>
      <x:c r="L34" s="25" t="str"/>
      <x:c r="M34" s="25" t="str">
        <x:f>IF(A34="","",IFERROR(VLOOKUP(J34,'口径与下拉'!$A$9:$B$14,2,FALSE),0)+IFERROR(VLOOKUP(K34,'口径与下拉'!$D$9:$E$14,2,FALSE),0)+L34)</x:f>
      </x:c>
      <x:c r="N34" s="25" t="str">
        <x:f>IF(M34="","",IF(M34&gt;=13,"P0",IF(M34&gt;=10,"P1",IF(M34&gt;=7,"P2","P3"))))</x:f>
      </x:c>
      <x:c r="O34" s="21" t="str"/>
      <x:c r="P34" s="21" t="str"/>
      <x:c r="Q34" s="21" t="str"/>
      <x:c r="R34" s="21" t="str"/>
      <x:c r="S34" s="21" t="str"/>
      <x:c r="T34" s="21" t="str"/>
      <x:c r="U34" s="31" t="str"/>
      <x:c r="V34" s="21" t="str"/>
      <x:c r="W34" s="21" t="str"/>
      <x:c r="X34" s="21" t="str"/>
      <x:c r="Y34" s="31" t="str"/>
      <x:c r="Z34" s="21" t="str"/>
    </x:row>
    <x:row r="35" ht="44" customHeight="1">
      <x:c r="A35" s="21" t="str"/>
      <x:c r="B35" s="31" t="str"/>
      <x:c r="C35" s="21" t="str"/>
      <x:c r="D35" s="21" t="str"/>
      <x:c r="E35" s="21" t="str"/>
      <x:c r="F35" s="21" t="str"/>
      <x:c r="G35" s="21" t="str"/>
      <x:c r="H35" s="21" t="str"/>
      <x:c r="I35" s="21" t="str"/>
      <x:c r="J35" s="25" t="str"/>
      <x:c r="K35" s="25" t="str"/>
      <x:c r="L35" s="25" t="str"/>
      <x:c r="M35" s="25" t="str">
        <x:f>IF(A35="","",IFERROR(VLOOKUP(J35,'口径与下拉'!$A$9:$B$14,2,FALSE),0)+IFERROR(VLOOKUP(K35,'口径与下拉'!$D$9:$E$14,2,FALSE),0)+L35)</x:f>
      </x:c>
      <x:c r="N35" s="25" t="str">
        <x:f>IF(M35="","",IF(M35&gt;=13,"P0",IF(M35&gt;=10,"P1",IF(M35&gt;=7,"P2","P3"))))</x:f>
      </x:c>
      <x:c r="O35" s="21" t="str"/>
      <x:c r="P35" s="21" t="str"/>
      <x:c r="Q35" s="21" t="str"/>
      <x:c r="R35" s="21" t="str"/>
      <x:c r="S35" s="21" t="str"/>
      <x:c r="T35" s="21" t="str"/>
      <x:c r="U35" s="31" t="str"/>
      <x:c r="V35" s="21" t="str"/>
      <x:c r="W35" s="21" t="str"/>
      <x:c r="X35" s="21" t="str"/>
      <x:c r="Y35" s="31" t="str"/>
      <x:c r="Z35" s="21" t="str"/>
    </x:row>
    <x:row r="36" ht="44" customHeight="1">
      <x:c r="A36" s="21" t="str"/>
      <x:c r="B36" s="31" t="str"/>
      <x:c r="C36" s="21" t="str"/>
      <x:c r="D36" s="21" t="str"/>
      <x:c r="E36" s="21" t="str"/>
      <x:c r="F36" s="21" t="str"/>
      <x:c r="G36" s="21" t="str"/>
      <x:c r="H36" s="21" t="str"/>
      <x:c r="I36" s="21" t="str"/>
      <x:c r="J36" s="25" t="str"/>
      <x:c r="K36" s="25" t="str"/>
      <x:c r="L36" s="25" t="str"/>
      <x:c r="M36" s="25" t="str">
        <x:f>IF(A36="","",IFERROR(VLOOKUP(J36,'口径与下拉'!$A$9:$B$14,2,FALSE),0)+IFERROR(VLOOKUP(K36,'口径与下拉'!$D$9:$E$14,2,FALSE),0)+L36)</x:f>
      </x:c>
      <x:c r="N36" s="25" t="str">
        <x:f>IF(M36="","",IF(M36&gt;=13,"P0",IF(M36&gt;=10,"P1",IF(M36&gt;=7,"P2","P3"))))</x:f>
      </x:c>
      <x:c r="O36" s="21" t="str"/>
      <x:c r="P36" s="21" t="str"/>
      <x:c r="Q36" s="21" t="str"/>
      <x:c r="R36" s="21" t="str"/>
      <x:c r="S36" s="21" t="str"/>
      <x:c r="T36" s="21" t="str"/>
      <x:c r="U36" s="31" t="str"/>
      <x:c r="V36" s="21" t="str"/>
      <x:c r="W36" s="21" t="str"/>
      <x:c r="X36" s="21" t="str"/>
      <x:c r="Y36" s="31" t="str"/>
      <x:c r="Z36" s="21" t="str"/>
    </x:row>
    <x:row r="37" ht="44" customHeight="1">
      <x:c r="A37" s="21" t="str"/>
      <x:c r="B37" s="31" t="str"/>
      <x:c r="C37" s="21" t="str"/>
      <x:c r="D37" s="21" t="str"/>
      <x:c r="E37" s="21" t="str"/>
      <x:c r="F37" s="21" t="str"/>
      <x:c r="G37" s="21" t="str"/>
      <x:c r="H37" s="21" t="str"/>
      <x:c r="I37" s="21" t="str"/>
      <x:c r="J37" s="25" t="str"/>
      <x:c r="K37" s="25" t="str"/>
      <x:c r="L37" s="25" t="str"/>
      <x:c r="M37" s="25" t="str">
        <x:f>IF(A37="","",IFERROR(VLOOKUP(J37,'口径与下拉'!$A$9:$B$14,2,FALSE),0)+IFERROR(VLOOKUP(K37,'口径与下拉'!$D$9:$E$14,2,FALSE),0)+L37)</x:f>
      </x:c>
      <x:c r="N37" s="25" t="str">
        <x:f>IF(M37="","",IF(M37&gt;=13,"P0",IF(M37&gt;=10,"P1",IF(M37&gt;=7,"P2","P3"))))</x:f>
      </x:c>
      <x:c r="O37" s="21" t="str"/>
      <x:c r="P37" s="21" t="str"/>
      <x:c r="Q37" s="21" t="str"/>
      <x:c r="R37" s="21" t="str"/>
      <x:c r="S37" s="21" t="str"/>
      <x:c r="T37" s="21" t="str"/>
      <x:c r="U37" s="31" t="str"/>
      <x:c r="V37" s="21" t="str"/>
      <x:c r="W37" s="21" t="str"/>
      <x:c r="X37" s="21" t="str"/>
      <x:c r="Y37" s="31" t="str"/>
      <x:c r="Z37" s="21" t="str"/>
    </x:row>
    <x:row r="38" ht="44" customHeight="1">
      <x:c r="A38" s="21" t="str"/>
      <x:c r="B38" s="31" t="str"/>
      <x:c r="C38" s="21" t="str"/>
      <x:c r="D38" s="21" t="str"/>
      <x:c r="E38" s="21" t="str"/>
      <x:c r="F38" s="21" t="str"/>
      <x:c r="G38" s="21" t="str"/>
      <x:c r="H38" s="21" t="str"/>
      <x:c r="I38" s="21" t="str"/>
      <x:c r="J38" s="25" t="str"/>
      <x:c r="K38" s="25" t="str"/>
      <x:c r="L38" s="25" t="str"/>
      <x:c r="M38" s="25" t="str">
        <x:f>IF(A38="","",IFERROR(VLOOKUP(J38,'口径与下拉'!$A$9:$B$14,2,FALSE),0)+IFERROR(VLOOKUP(K38,'口径与下拉'!$D$9:$E$14,2,FALSE),0)+L38)</x:f>
      </x:c>
      <x:c r="N38" s="25" t="str">
        <x:f>IF(M38="","",IF(M38&gt;=13,"P0",IF(M38&gt;=10,"P1",IF(M38&gt;=7,"P2","P3"))))</x:f>
      </x:c>
      <x:c r="O38" s="21" t="str"/>
      <x:c r="P38" s="21" t="str"/>
      <x:c r="Q38" s="21" t="str"/>
      <x:c r="R38" s="21" t="str"/>
      <x:c r="S38" s="21" t="str"/>
      <x:c r="T38" s="21" t="str"/>
      <x:c r="U38" s="31" t="str"/>
      <x:c r="V38" s="21" t="str"/>
      <x:c r="W38" s="21" t="str"/>
      <x:c r="X38" s="21" t="str"/>
      <x:c r="Y38" s="31" t="str"/>
      <x:c r="Z38" s="21" t="str"/>
    </x:row>
    <x:row r="39" ht="44" customHeight="1">
      <x:c r="A39" s="21" t="str"/>
      <x:c r="B39" s="31" t="str"/>
      <x:c r="C39" s="21" t="str"/>
      <x:c r="D39" s="21" t="str"/>
      <x:c r="E39" s="21" t="str"/>
      <x:c r="F39" s="21" t="str"/>
      <x:c r="G39" s="21" t="str"/>
      <x:c r="H39" s="21" t="str"/>
      <x:c r="I39" s="21" t="str"/>
      <x:c r="J39" s="25" t="str"/>
      <x:c r="K39" s="25" t="str"/>
      <x:c r="L39" s="25" t="str"/>
      <x:c r="M39" s="25" t="str">
        <x:f>IF(A39="","",IFERROR(VLOOKUP(J39,'口径与下拉'!$A$9:$B$14,2,FALSE),0)+IFERROR(VLOOKUP(K39,'口径与下拉'!$D$9:$E$14,2,FALSE),0)+L39)</x:f>
      </x:c>
      <x:c r="N39" s="25" t="str">
        <x:f>IF(M39="","",IF(M39&gt;=13,"P0",IF(M39&gt;=10,"P1",IF(M39&gt;=7,"P2","P3"))))</x:f>
      </x:c>
      <x:c r="O39" s="21" t="str"/>
      <x:c r="P39" s="21" t="str"/>
      <x:c r="Q39" s="21" t="str"/>
      <x:c r="R39" s="21" t="str"/>
      <x:c r="S39" s="21" t="str"/>
      <x:c r="T39" s="21" t="str"/>
      <x:c r="U39" s="31" t="str"/>
      <x:c r="V39" s="21" t="str"/>
      <x:c r="W39" s="21" t="str"/>
      <x:c r="X39" s="21" t="str"/>
      <x:c r="Y39" s="31" t="str"/>
      <x:c r="Z39" s="21" t="str"/>
    </x:row>
    <x:row r="40" ht="44" customHeight="1">
      <x:c r="A40" s="21" t="str"/>
      <x:c r="B40" s="31" t="str"/>
      <x:c r="C40" s="21" t="str"/>
      <x:c r="D40" s="21" t="str"/>
      <x:c r="E40" s="21" t="str"/>
      <x:c r="F40" s="21" t="str"/>
      <x:c r="G40" s="21" t="str"/>
      <x:c r="H40" s="21" t="str"/>
      <x:c r="I40" s="21" t="str"/>
      <x:c r="J40" s="25" t="str"/>
      <x:c r="K40" s="25" t="str"/>
      <x:c r="L40" s="25" t="str"/>
      <x:c r="M40" s="25" t="str">
        <x:f>IF(A40="","",IFERROR(VLOOKUP(J40,'口径与下拉'!$A$9:$B$14,2,FALSE),0)+IFERROR(VLOOKUP(K40,'口径与下拉'!$D$9:$E$14,2,FALSE),0)+L40)</x:f>
      </x:c>
      <x:c r="N40" s="25" t="str">
        <x:f>IF(M40="","",IF(M40&gt;=13,"P0",IF(M40&gt;=10,"P1",IF(M40&gt;=7,"P2","P3"))))</x:f>
      </x:c>
      <x:c r="O40" s="21" t="str"/>
      <x:c r="P40" s="21" t="str"/>
      <x:c r="Q40" s="21" t="str"/>
      <x:c r="R40" s="21" t="str"/>
      <x:c r="S40" s="21" t="str"/>
      <x:c r="T40" s="21" t="str"/>
      <x:c r="U40" s="31" t="str"/>
      <x:c r="V40" s="21" t="str"/>
      <x:c r="W40" s="21" t="str"/>
      <x:c r="X40" s="21" t="str"/>
      <x:c r="Y40" s="31" t="str"/>
      <x:c r="Z40" s="21" t="str"/>
    </x:row>
    <x:row r="41" ht="44" customHeight="1">
      <x:c r="A41" s="21" t="str"/>
      <x:c r="B41" s="31" t="str"/>
      <x:c r="C41" s="21" t="str"/>
      <x:c r="D41" s="21" t="str"/>
      <x:c r="E41" s="21" t="str"/>
      <x:c r="F41" s="21" t="str"/>
      <x:c r="G41" s="21" t="str"/>
      <x:c r="H41" s="21" t="str"/>
      <x:c r="I41" s="21" t="str"/>
      <x:c r="J41" s="25" t="str"/>
      <x:c r="K41" s="25" t="str"/>
      <x:c r="L41" s="25" t="str"/>
      <x:c r="M41" s="25" t="str">
        <x:f>IF(A41="","",IFERROR(VLOOKUP(J41,'口径与下拉'!$A$9:$B$14,2,FALSE),0)+IFERROR(VLOOKUP(K41,'口径与下拉'!$D$9:$E$14,2,FALSE),0)+L41)</x:f>
      </x:c>
      <x:c r="N41" s="25" t="str">
        <x:f>IF(M41="","",IF(M41&gt;=13,"P0",IF(M41&gt;=10,"P1",IF(M41&gt;=7,"P2","P3"))))</x:f>
      </x:c>
      <x:c r="O41" s="21" t="str"/>
      <x:c r="P41" s="21" t="str"/>
      <x:c r="Q41" s="21" t="str"/>
      <x:c r="R41" s="21" t="str"/>
      <x:c r="S41" s="21" t="str"/>
      <x:c r="T41" s="21" t="str"/>
      <x:c r="U41" s="31" t="str"/>
      <x:c r="V41" s="21" t="str"/>
      <x:c r="W41" s="21" t="str"/>
      <x:c r="X41" s="21" t="str"/>
      <x:c r="Y41" s="31" t="str"/>
      <x:c r="Z41" s="21" t="str"/>
    </x:row>
    <x:row r="42" ht="44" customHeight="1">
      <x:c r="A42" s="21" t="str"/>
      <x:c r="B42" s="31" t="str"/>
      <x:c r="C42" s="21" t="str"/>
      <x:c r="D42" s="21" t="str"/>
      <x:c r="E42" s="21" t="str"/>
      <x:c r="F42" s="21" t="str"/>
      <x:c r="G42" s="21" t="str"/>
      <x:c r="H42" s="21" t="str"/>
      <x:c r="I42" s="21" t="str"/>
      <x:c r="J42" s="25" t="str"/>
      <x:c r="K42" s="25" t="str"/>
      <x:c r="L42" s="25" t="str"/>
      <x:c r="M42" s="25" t="str">
        <x:f>IF(A42="","",IFERROR(VLOOKUP(J42,'口径与下拉'!$A$9:$B$14,2,FALSE),0)+IFERROR(VLOOKUP(K42,'口径与下拉'!$D$9:$E$14,2,FALSE),0)+L42)</x:f>
      </x:c>
      <x:c r="N42" s="25" t="str">
        <x:f>IF(M42="","",IF(M42&gt;=13,"P0",IF(M42&gt;=10,"P1",IF(M42&gt;=7,"P2","P3"))))</x:f>
      </x:c>
      <x:c r="O42" s="21" t="str"/>
      <x:c r="P42" s="21" t="str"/>
      <x:c r="Q42" s="21" t="str"/>
      <x:c r="R42" s="21" t="str"/>
      <x:c r="S42" s="21" t="str"/>
      <x:c r="T42" s="21" t="str"/>
      <x:c r="U42" s="31" t="str"/>
      <x:c r="V42" s="21" t="str"/>
      <x:c r="W42" s="21" t="str"/>
      <x:c r="X42" s="21" t="str"/>
      <x:c r="Y42" s="31" t="str"/>
      <x:c r="Z42" s="21" t="str"/>
    </x:row>
    <x:row r="43" ht="44" customHeight="1">
      <x:c r="A43" s="21" t="str"/>
      <x:c r="B43" s="31" t="str"/>
      <x:c r="C43" s="21" t="str"/>
      <x:c r="D43" s="21" t="str"/>
      <x:c r="E43" s="21" t="str"/>
      <x:c r="F43" s="21" t="str"/>
      <x:c r="G43" s="21" t="str"/>
      <x:c r="H43" s="21" t="str"/>
      <x:c r="I43" s="21" t="str"/>
      <x:c r="J43" s="25" t="str"/>
      <x:c r="K43" s="25" t="str"/>
      <x:c r="L43" s="25" t="str"/>
      <x:c r="M43" s="25" t="str">
        <x:f>IF(A43="","",IFERROR(VLOOKUP(J43,'口径与下拉'!$A$9:$B$14,2,FALSE),0)+IFERROR(VLOOKUP(K43,'口径与下拉'!$D$9:$E$14,2,FALSE),0)+L43)</x:f>
      </x:c>
      <x:c r="N43" s="25" t="str">
        <x:f>IF(M43="","",IF(M43&gt;=13,"P0",IF(M43&gt;=10,"P1",IF(M43&gt;=7,"P2","P3"))))</x:f>
      </x:c>
      <x:c r="O43" s="21" t="str"/>
      <x:c r="P43" s="21" t="str"/>
      <x:c r="Q43" s="21" t="str"/>
      <x:c r="R43" s="21" t="str"/>
      <x:c r="S43" s="21" t="str"/>
      <x:c r="T43" s="21" t="str"/>
      <x:c r="U43" s="31" t="str"/>
      <x:c r="V43" s="21" t="str"/>
      <x:c r="W43" s="21" t="str"/>
      <x:c r="X43" s="21" t="str"/>
      <x:c r="Y43" s="31" t="str"/>
      <x:c r="Z43" s="21" t="str"/>
    </x:row>
    <x:row r="44" ht="44" customHeight="1">
      <x:c r="A44" s="21" t="str"/>
      <x:c r="B44" s="31" t="str"/>
      <x:c r="C44" s="21" t="str"/>
      <x:c r="D44" s="21" t="str"/>
      <x:c r="E44" s="21" t="str"/>
      <x:c r="F44" s="21" t="str"/>
      <x:c r="G44" s="21" t="str"/>
      <x:c r="H44" s="21" t="str"/>
      <x:c r="I44" s="21" t="str"/>
      <x:c r="J44" s="25" t="str"/>
      <x:c r="K44" s="25" t="str"/>
      <x:c r="L44" s="25" t="str"/>
      <x:c r="M44" s="25" t="str">
        <x:f>IF(A44="","",IFERROR(VLOOKUP(J44,'口径与下拉'!$A$9:$B$14,2,FALSE),0)+IFERROR(VLOOKUP(K44,'口径与下拉'!$D$9:$E$14,2,FALSE),0)+L44)</x:f>
      </x:c>
      <x:c r="N44" s="25" t="str">
        <x:f>IF(M44="","",IF(M44&gt;=13,"P0",IF(M44&gt;=10,"P1",IF(M44&gt;=7,"P2","P3"))))</x:f>
      </x:c>
      <x:c r="O44" s="21" t="str"/>
      <x:c r="P44" s="21" t="str"/>
      <x:c r="Q44" s="21" t="str"/>
      <x:c r="R44" s="21" t="str"/>
      <x:c r="S44" s="21" t="str"/>
      <x:c r="T44" s="21" t="str"/>
      <x:c r="U44" s="31" t="str"/>
      <x:c r="V44" s="21" t="str"/>
      <x:c r="W44" s="21" t="str"/>
      <x:c r="X44" s="21" t="str"/>
      <x:c r="Y44" s="31" t="str"/>
      <x:c r="Z44" s="21" t="str"/>
    </x:row>
    <x:row r="45" ht="44" customHeight="1">
      <x:c r="A45" s="21" t="str"/>
      <x:c r="B45" s="31" t="str"/>
      <x:c r="C45" s="21" t="str"/>
      <x:c r="D45" s="21" t="str"/>
      <x:c r="E45" s="21" t="str"/>
      <x:c r="F45" s="21" t="str"/>
      <x:c r="G45" s="21" t="str"/>
      <x:c r="H45" s="21" t="str"/>
      <x:c r="I45" s="21" t="str"/>
      <x:c r="J45" s="25" t="str"/>
      <x:c r="K45" s="25" t="str"/>
      <x:c r="L45" s="25" t="str"/>
      <x:c r="M45" s="25" t="str">
        <x:f>IF(A45="","",IFERROR(VLOOKUP(J45,'口径与下拉'!$A$9:$B$14,2,FALSE),0)+IFERROR(VLOOKUP(K45,'口径与下拉'!$D$9:$E$14,2,FALSE),0)+L45)</x:f>
      </x:c>
      <x:c r="N45" s="25" t="str">
        <x:f>IF(M45="","",IF(M45&gt;=13,"P0",IF(M45&gt;=10,"P1",IF(M45&gt;=7,"P2","P3"))))</x:f>
      </x:c>
      <x:c r="O45" s="21" t="str"/>
      <x:c r="P45" s="21" t="str"/>
      <x:c r="Q45" s="21" t="str"/>
      <x:c r="R45" s="21" t="str"/>
      <x:c r="S45" s="21" t="str"/>
      <x:c r="T45" s="21" t="str"/>
      <x:c r="U45" s="31" t="str"/>
      <x:c r="V45" s="21" t="str"/>
      <x:c r="W45" s="21" t="str"/>
      <x:c r="X45" s="21" t="str"/>
      <x:c r="Y45" s="31" t="str"/>
      <x:c r="Z45" s="21" t="str"/>
    </x:row>
    <x:row r="46" ht="44" customHeight="1">
      <x:c r="A46" s="21" t="str"/>
      <x:c r="B46" s="31" t="str"/>
      <x:c r="C46" s="21" t="str"/>
      <x:c r="D46" s="21" t="str"/>
      <x:c r="E46" s="21" t="str"/>
      <x:c r="F46" s="21" t="str"/>
      <x:c r="G46" s="21" t="str"/>
      <x:c r="H46" s="21" t="str"/>
      <x:c r="I46" s="21" t="str"/>
      <x:c r="J46" s="25" t="str"/>
      <x:c r="K46" s="25" t="str"/>
      <x:c r="L46" s="25" t="str"/>
      <x:c r="M46" s="25" t="str">
        <x:f>IF(A46="","",IFERROR(VLOOKUP(J46,'口径与下拉'!$A$9:$B$14,2,FALSE),0)+IFERROR(VLOOKUP(K46,'口径与下拉'!$D$9:$E$14,2,FALSE),0)+L46)</x:f>
      </x:c>
      <x:c r="N46" s="25" t="str">
        <x:f>IF(M46="","",IF(M46&gt;=13,"P0",IF(M46&gt;=10,"P1",IF(M46&gt;=7,"P2","P3"))))</x:f>
      </x:c>
      <x:c r="O46" s="21" t="str"/>
      <x:c r="P46" s="21" t="str"/>
      <x:c r="Q46" s="21" t="str"/>
      <x:c r="R46" s="21" t="str"/>
      <x:c r="S46" s="21" t="str"/>
      <x:c r="T46" s="21" t="str"/>
      <x:c r="U46" s="31" t="str"/>
      <x:c r="V46" s="21" t="str"/>
      <x:c r="W46" s="21" t="str"/>
      <x:c r="X46" s="21" t="str"/>
      <x:c r="Y46" s="31" t="str"/>
      <x:c r="Z46" s="21" t="str"/>
    </x:row>
    <x:row r="47" ht="44" customHeight="1">
      <x:c r="A47" s="21" t="str"/>
      <x:c r="B47" s="31" t="str"/>
      <x:c r="C47" s="21" t="str"/>
      <x:c r="D47" s="21" t="str"/>
      <x:c r="E47" s="21" t="str"/>
      <x:c r="F47" s="21" t="str"/>
      <x:c r="G47" s="21" t="str"/>
      <x:c r="H47" s="21" t="str"/>
      <x:c r="I47" s="21" t="str"/>
      <x:c r="J47" s="25" t="str"/>
      <x:c r="K47" s="25" t="str"/>
      <x:c r="L47" s="25" t="str"/>
      <x:c r="M47" s="25" t="str">
        <x:f>IF(A47="","",IFERROR(VLOOKUP(J47,'口径与下拉'!$A$9:$B$14,2,FALSE),0)+IFERROR(VLOOKUP(K47,'口径与下拉'!$D$9:$E$14,2,FALSE),0)+L47)</x:f>
      </x:c>
      <x:c r="N47" s="25" t="str">
        <x:f>IF(M47="","",IF(M47&gt;=13,"P0",IF(M47&gt;=10,"P1",IF(M47&gt;=7,"P2","P3"))))</x:f>
      </x:c>
      <x:c r="O47" s="21" t="str"/>
      <x:c r="P47" s="21" t="str"/>
      <x:c r="Q47" s="21" t="str"/>
      <x:c r="R47" s="21" t="str"/>
      <x:c r="S47" s="21" t="str"/>
      <x:c r="T47" s="21" t="str"/>
      <x:c r="U47" s="31" t="str"/>
      <x:c r="V47" s="21" t="str"/>
      <x:c r="W47" s="21" t="str"/>
      <x:c r="X47" s="21" t="str"/>
      <x:c r="Y47" s="31" t="str"/>
      <x:c r="Z47" s="21" t="str"/>
    </x:row>
    <x:row r="48" ht="44" customHeight="1">
      <x:c r="A48" s="21" t="str"/>
      <x:c r="B48" s="31" t="str"/>
      <x:c r="C48" s="21" t="str"/>
      <x:c r="D48" s="21" t="str"/>
      <x:c r="E48" s="21" t="str"/>
      <x:c r="F48" s="21" t="str"/>
      <x:c r="G48" s="21" t="str"/>
      <x:c r="H48" s="21" t="str"/>
      <x:c r="I48" s="21" t="str"/>
      <x:c r="J48" s="25" t="str"/>
      <x:c r="K48" s="25" t="str"/>
      <x:c r="L48" s="25" t="str"/>
      <x:c r="M48" s="25" t="str">
        <x:f>IF(A48="","",IFERROR(VLOOKUP(J48,'口径与下拉'!$A$9:$B$14,2,FALSE),0)+IFERROR(VLOOKUP(K48,'口径与下拉'!$D$9:$E$14,2,FALSE),0)+L48)</x:f>
      </x:c>
      <x:c r="N48" s="25" t="str">
        <x:f>IF(M48="","",IF(M48&gt;=13,"P0",IF(M48&gt;=10,"P1",IF(M48&gt;=7,"P2","P3"))))</x:f>
      </x:c>
      <x:c r="O48" s="21" t="str"/>
      <x:c r="P48" s="21" t="str"/>
      <x:c r="Q48" s="21" t="str"/>
      <x:c r="R48" s="21" t="str"/>
      <x:c r="S48" s="21" t="str"/>
      <x:c r="T48" s="21" t="str"/>
      <x:c r="U48" s="31" t="str"/>
      <x:c r="V48" s="21" t="str"/>
      <x:c r="W48" s="21" t="str"/>
      <x:c r="X48" s="21" t="str"/>
      <x:c r="Y48" s="31" t="str"/>
      <x:c r="Z48" s="21" t="str"/>
    </x:row>
    <x:row r="49" ht="44" customHeight="1">
      <x:c r="A49" s="21" t="str"/>
      <x:c r="B49" s="31" t="str"/>
      <x:c r="C49" s="21" t="str"/>
      <x:c r="D49" s="21" t="str"/>
      <x:c r="E49" s="21" t="str"/>
      <x:c r="F49" s="21" t="str"/>
      <x:c r="G49" s="21" t="str"/>
      <x:c r="H49" s="21" t="str"/>
      <x:c r="I49" s="21" t="str"/>
      <x:c r="J49" s="25" t="str"/>
      <x:c r="K49" s="25" t="str"/>
      <x:c r="L49" s="25" t="str"/>
      <x:c r="M49" s="25" t="str">
        <x:f>IF(A49="","",IFERROR(VLOOKUP(J49,'口径与下拉'!$A$9:$B$14,2,FALSE),0)+IFERROR(VLOOKUP(K49,'口径与下拉'!$D$9:$E$14,2,FALSE),0)+L49)</x:f>
      </x:c>
      <x:c r="N49" s="25" t="str">
        <x:f>IF(M49="","",IF(M49&gt;=13,"P0",IF(M49&gt;=10,"P1",IF(M49&gt;=7,"P2","P3"))))</x:f>
      </x:c>
      <x:c r="O49" s="21" t="str"/>
      <x:c r="P49" s="21" t="str"/>
      <x:c r="Q49" s="21" t="str"/>
      <x:c r="R49" s="21" t="str"/>
      <x:c r="S49" s="21" t="str"/>
      <x:c r="T49" s="21" t="str"/>
      <x:c r="U49" s="31" t="str"/>
      <x:c r="V49" s="21" t="str"/>
      <x:c r="W49" s="21" t="str"/>
      <x:c r="X49" s="21" t="str"/>
      <x:c r="Y49" s="31" t="str"/>
      <x:c r="Z49" s="21" t="str"/>
    </x:row>
    <x:row r="50" ht="44" customHeight="1">
      <x:c r="A50" s="21" t="str"/>
      <x:c r="B50" s="31" t="str"/>
      <x:c r="C50" s="21" t="str"/>
      <x:c r="D50" s="21" t="str"/>
      <x:c r="E50" s="21" t="str"/>
      <x:c r="F50" s="21" t="str"/>
      <x:c r="G50" s="21" t="str"/>
      <x:c r="H50" s="21" t="str"/>
      <x:c r="I50" s="21" t="str"/>
      <x:c r="J50" s="25" t="str"/>
      <x:c r="K50" s="25" t="str"/>
      <x:c r="L50" s="25" t="str"/>
      <x:c r="M50" s="25" t="str">
        <x:f>IF(A50="","",IFERROR(VLOOKUP(J50,'口径与下拉'!$A$9:$B$14,2,FALSE),0)+IFERROR(VLOOKUP(K50,'口径与下拉'!$D$9:$E$14,2,FALSE),0)+L50)</x:f>
      </x:c>
      <x:c r="N50" s="25" t="str">
        <x:f>IF(M50="","",IF(M50&gt;=13,"P0",IF(M50&gt;=10,"P1",IF(M50&gt;=7,"P2","P3"))))</x:f>
      </x:c>
      <x:c r="O50" s="21" t="str"/>
      <x:c r="P50" s="21" t="str"/>
      <x:c r="Q50" s="21" t="str"/>
      <x:c r="R50" s="21" t="str"/>
      <x:c r="S50" s="21" t="str"/>
      <x:c r="T50" s="21" t="str"/>
      <x:c r="U50" s="31" t="str"/>
      <x:c r="V50" s="21" t="str"/>
      <x:c r="W50" s="21" t="str"/>
      <x:c r="X50" s="21" t="str"/>
      <x:c r="Y50" s="31" t="str"/>
      <x:c r="Z50" s="21" t="str"/>
    </x:row>
    <x:row r="51" ht="44" customHeight="1">
      <x:c r="A51" s="21" t="str"/>
      <x:c r="B51" s="31" t="str"/>
      <x:c r="C51" s="21" t="str"/>
      <x:c r="D51" s="21" t="str"/>
      <x:c r="E51" s="21" t="str"/>
      <x:c r="F51" s="21" t="str"/>
      <x:c r="G51" s="21" t="str"/>
      <x:c r="H51" s="21" t="str"/>
      <x:c r="I51" s="21" t="str"/>
      <x:c r="J51" s="25" t="str"/>
      <x:c r="K51" s="25" t="str"/>
      <x:c r="L51" s="25" t="str"/>
      <x:c r="M51" s="25" t="str">
        <x:f>IF(A51="","",IFERROR(VLOOKUP(J51,'口径与下拉'!$A$9:$B$14,2,FALSE),0)+IFERROR(VLOOKUP(K51,'口径与下拉'!$D$9:$E$14,2,FALSE),0)+L51)</x:f>
      </x:c>
      <x:c r="N51" s="25" t="str">
        <x:f>IF(M51="","",IF(M51&gt;=13,"P0",IF(M51&gt;=10,"P1",IF(M51&gt;=7,"P2","P3"))))</x:f>
      </x:c>
      <x:c r="O51" s="21" t="str"/>
      <x:c r="P51" s="21" t="str"/>
      <x:c r="Q51" s="21" t="str"/>
      <x:c r="R51" s="21" t="str"/>
      <x:c r="S51" s="21" t="str"/>
      <x:c r="T51" s="21" t="str"/>
      <x:c r="U51" s="31" t="str"/>
      <x:c r="V51" s="21" t="str"/>
      <x:c r="W51" s="21" t="str"/>
      <x:c r="X51" s="21" t="str"/>
      <x:c r="Y51" s="31" t="str"/>
      <x:c r="Z51" s="21" t="str"/>
    </x:row>
    <x:row r="52" ht="44" customHeight="1">
      <x:c r="A52" s="21" t="str"/>
      <x:c r="B52" s="31" t="str"/>
      <x:c r="C52" s="21" t="str"/>
      <x:c r="D52" s="21" t="str"/>
      <x:c r="E52" s="21" t="str"/>
      <x:c r="F52" s="21" t="str"/>
      <x:c r="G52" s="21" t="str"/>
      <x:c r="H52" s="21" t="str"/>
      <x:c r="I52" s="21" t="str"/>
      <x:c r="J52" s="25" t="str"/>
      <x:c r="K52" s="25" t="str"/>
      <x:c r="L52" s="25" t="str"/>
      <x:c r="M52" s="25" t="str">
        <x:f>IF(A52="","",IFERROR(VLOOKUP(J52,'口径与下拉'!$A$9:$B$14,2,FALSE),0)+IFERROR(VLOOKUP(K52,'口径与下拉'!$D$9:$E$14,2,FALSE),0)+L52)</x:f>
      </x:c>
      <x:c r="N52" s="25" t="str">
        <x:f>IF(M52="","",IF(M52&gt;=13,"P0",IF(M52&gt;=10,"P1",IF(M52&gt;=7,"P2","P3"))))</x:f>
      </x:c>
      <x:c r="O52" s="21" t="str"/>
      <x:c r="P52" s="21" t="str"/>
      <x:c r="Q52" s="21" t="str"/>
      <x:c r="R52" s="21" t="str"/>
      <x:c r="S52" s="21" t="str"/>
      <x:c r="T52" s="21" t="str"/>
      <x:c r="U52" s="31" t="str"/>
      <x:c r="V52" s="21" t="str"/>
      <x:c r="W52" s="21" t="str"/>
      <x:c r="X52" s="21" t="str"/>
      <x:c r="Y52" s="31" t="str"/>
      <x:c r="Z52" s="21" t="str"/>
    </x:row>
    <x:row r="53" ht="44" customHeight="1">
      <x:c r="A53" s="21" t="str"/>
      <x:c r="B53" s="31" t="str"/>
      <x:c r="C53" s="21" t="str"/>
      <x:c r="D53" s="21" t="str"/>
      <x:c r="E53" s="21" t="str"/>
      <x:c r="F53" s="21" t="str"/>
      <x:c r="G53" s="21" t="str"/>
      <x:c r="H53" s="21" t="str"/>
      <x:c r="I53" s="21" t="str"/>
      <x:c r="J53" s="25" t="str"/>
      <x:c r="K53" s="25" t="str"/>
      <x:c r="L53" s="25" t="str"/>
      <x:c r="M53" s="25" t="str">
        <x:f>IF(A53="","",IFERROR(VLOOKUP(J53,'口径与下拉'!$A$9:$B$14,2,FALSE),0)+IFERROR(VLOOKUP(K53,'口径与下拉'!$D$9:$E$14,2,FALSE),0)+L53)</x:f>
      </x:c>
      <x:c r="N53" s="25" t="str">
        <x:f>IF(M53="","",IF(M53&gt;=13,"P0",IF(M53&gt;=10,"P1",IF(M53&gt;=7,"P2","P3"))))</x:f>
      </x:c>
      <x:c r="O53" s="21" t="str"/>
      <x:c r="P53" s="21" t="str"/>
      <x:c r="Q53" s="21" t="str"/>
      <x:c r="R53" s="21" t="str"/>
      <x:c r="S53" s="21" t="str"/>
      <x:c r="T53" s="21" t="str"/>
      <x:c r="U53" s="31" t="str"/>
      <x:c r="V53" s="21" t="str"/>
      <x:c r="W53" s="21" t="str"/>
      <x:c r="X53" s="21" t="str"/>
      <x:c r="Y53" s="31" t="str"/>
      <x:c r="Z53" s="21" t="str"/>
    </x:row>
    <x:row r="54" ht="44" customHeight="1">
      <x:c r="A54" s="21" t="str"/>
      <x:c r="B54" s="31" t="str"/>
      <x:c r="C54" s="21" t="str"/>
      <x:c r="D54" s="21" t="str"/>
      <x:c r="E54" s="21" t="str"/>
      <x:c r="F54" s="21" t="str"/>
      <x:c r="G54" s="21" t="str"/>
      <x:c r="H54" s="21" t="str"/>
      <x:c r="I54" s="21" t="str"/>
      <x:c r="J54" s="25" t="str"/>
      <x:c r="K54" s="25" t="str"/>
      <x:c r="L54" s="25" t="str"/>
      <x:c r="M54" s="25" t="str">
        <x:f>IF(A54="","",IFERROR(VLOOKUP(J54,'口径与下拉'!$A$9:$B$14,2,FALSE),0)+IFERROR(VLOOKUP(K54,'口径与下拉'!$D$9:$E$14,2,FALSE),0)+L54)</x:f>
      </x:c>
      <x:c r="N54" s="25" t="str">
        <x:f>IF(M54="","",IF(M54&gt;=13,"P0",IF(M54&gt;=10,"P1",IF(M54&gt;=7,"P2","P3"))))</x:f>
      </x:c>
      <x:c r="O54" s="21" t="str"/>
      <x:c r="P54" s="21" t="str"/>
      <x:c r="Q54" s="21" t="str"/>
      <x:c r="R54" s="21" t="str"/>
      <x:c r="S54" s="21" t="str"/>
      <x:c r="T54" s="21" t="str"/>
      <x:c r="U54" s="31" t="str"/>
      <x:c r="V54" s="21" t="str"/>
      <x:c r="W54" s="21" t="str"/>
      <x:c r="X54" s="21" t="str"/>
      <x:c r="Y54" s="31" t="str"/>
      <x:c r="Z54" s="21" t="str"/>
    </x:row>
    <x:row r="55" ht="44" customHeight="1">
      <x:c r="A55" s="21" t="str"/>
      <x:c r="B55" s="31" t="str"/>
      <x:c r="C55" s="21" t="str"/>
      <x:c r="D55" s="21" t="str"/>
      <x:c r="E55" s="21" t="str"/>
      <x:c r="F55" s="21" t="str"/>
      <x:c r="G55" s="21" t="str"/>
      <x:c r="H55" s="21" t="str"/>
      <x:c r="I55" s="21" t="str"/>
      <x:c r="J55" s="25" t="str"/>
      <x:c r="K55" s="25" t="str"/>
      <x:c r="L55" s="25" t="str"/>
      <x:c r="M55" s="25" t="str">
        <x:f>IF(A55="","",IFERROR(VLOOKUP(J55,'口径与下拉'!$A$9:$B$14,2,FALSE),0)+IFERROR(VLOOKUP(K55,'口径与下拉'!$D$9:$E$14,2,FALSE),0)+L55)</x:f>
      </x:c>
      <x:c r="N55" s="25" t="str">
        <x:f>IF(M55="","",IF(M55&gt;=13,"P0",IF(M55&gt;=10,"P1",IF(M55&gt;=7,"P2","P3"))))</x:f>
      </x:c>
      <x:c r="O55" s="21" t="str"/>
      <x:c r="P55" s="21" t="str"/>
      <x:c r="Q55" s="21" t="str"/>
      <x:c r="R55" s="21" t="str"/>
      <x:c r="S55" s="21" t="str"/>
      <x:c r="T55" s="21" t="str"/>
      <x:c r="U55" s="31" t="str"/>
      <x:c r="V55" s="21" t="str"/>
      <x:c r="W55" s="21" t="str"/>
      <x:c r="X55" s="21" t="str"/>
      <x:c r="Y55" s="31" t="str"/>
      <x:c r="Z55" s="21" t="str"/>
    </x:row>
    <x:row r="56" ht="44" customHeight="1">
      <x:c r="A56" s="21" t="str"/>
      <x:c r="B56" s="31" t="str"/>
      <x:c r="C56" s="21" t="str"/>
      <x:c r="D56" s="21" t="str"/>
      <x:c r="E56" s="21" t="str"/>
      <x:c r="F56" s="21" t="str"/>
      <x:c r="G56" s="21" t="str"/>
      <x:c r="H56" s="21" t="str"/>
      <x:c r="I56" s="21" t="str"/>
      <x:c r="J56" s="25" t="str"/>
      <x:c r="K56" s="25" t="str"/>
      <x:c r="L56" s="25" t="str"/>
      <x:c r="M56" s="25" t="str">
        <x:f>IF(A56="","",IFERROR(VLOOKUP(J56,'口径与下拉'!$A$9:$B$14,2,FALSE),0)+IFERROR(VLOOKUP(K56,'口径与下拉'!$D$9:$E$14,2,FALSE),0)+L56)</x:f>
      </x:c>
      <x:c r="N56" s="25" t="str">
        <x:f>IF(M56="","",IF(M56&gt;=13,"P0",IF(M56&gt;=10,"P1",IF(M56&gt;=7,"P2","P3"))))</x:f>
      </x:c>
      <x:c r="O56" s="21" t="str"/>
      <x:c r="P56" s="21" t="str"/>
      <x:c r="Q56" s="21" t="str"/>
      <x:c r="R56" s="21" t="str"/>
      <x:c r="S56" s="21" t="str"/>
      <x:c r="T56" s="21" t="str"/>
      <x:c r="U56" s="31" t="str"/>
      <x:c r="V56" s="21" t="str"/>
      <x:c r="W56" s="21" t="str"/>
      <x:c r="X56" s="21" t="str"/>
      <x:c r="Y56" s="31" t="str"/>
      <x:c r="Z56" s="21" t="str"/>
    </x:row>
    <x:row r="57" ht="44" customHeight="1">
      <x:c r="A57" s="21" t="str"/>
      <x:c r="B57" s="31" t="str"/>
      <x:c r="C57" s="21" t="str"/>
      <x:c r="D57" s="21" t="str"/>
      <x:c r="E57" s="21" t="str"/>
      <x:c r="F57" s="21" t="str"/>
      <x:c r="G57" s="21" t="str"/>
      <x:c r="H57" s="21" t="str"/>
      <x:c r="I57" s="21" t="str"/>
      <x:c r="J57" s="25" t="str"/>
      <x:c r="K57" s="25" t="str"/>
      <x:c r="L57" s="25" t="str"/>
      <x:c r="M57" s="25" t="str">
        <x:f>IF(A57="","",IFERROR(VLOOKUP(J57,'口径与下拉'!$A$9:$B$14,2,FALSE),0)+IFERROR(VLOOKUP(K57,'口径与下拉'!$D$9:$E$14,2,FALSE),0)+L57)</x:f>
      </x:c>
      <x:c r="N57" s="25" t="str">
        <x:f>IF(M57="","",IF(M57&gt;=13,"P0",IF(M57&gt;=10,"P1",IF(M57&gt;=7,"P2","P3"))))</x:f>
      </x:c>
      <x:c r="O57" s="21" t="str"/>
      <x:c r="P57" s="21" t="str"/>
      <x:c r="Q57" s="21" t="str"/>
      <x:c r="R57" s="21" t="str"/>
      <x:c r="S57" s="21" t="str"/>
      <x:c r="T57" s="21" t="str"/>
      <x:c r="U57" s="31" t="str"/>
      <x:c r="V57" s="21" t="str"/>
      <x:c r="W57" s="21" t="str"/>
      <x:c r="X57" s="21" t="str"/>
      <x:c r="Y57" s="31" t="str"/>
      <x:c r="Z57" s="21" t="str"/>
    </x:row>
    <x:row r="58" ht="44" customHeight="1">
      <x:c r="A58" s="21" t="str"/>
      <x:c r="B58" s="31" t="str"/>
      <x:c r="C58" s="21" t="str"/>
      <x:c r="D58" s="21" t="str"/>
      <x:c r="E58" s="21" t="str"/>
      <x:c r="F58" s="21" t="str"/>
      <x:c r="G58" s="21" t="str"/>
      <x:c r="H58" s="21" t="str"/>
      <x:c r="I58" s="21" t="str"/>
      <x:c r="J58" s="25" t="str"/>
      <x:c r="K58" s="25" t="str"/>
      <x:c r="L58" s="25" t="str"/>
      <x:c r="M58" s="25" t="str">
        <x:f>IF(A58="","",IFERROR(VLOOKUP(J58,'口径与下拉'!$A$9:$B$14,2,FALSE),0)+IFERROR(VLOOKUP(K58,'口径与下拉'!$D$9:$E$14,2,FALSE),0)+L58)</x:f>
      </x:c>
      <x:c r="N58" s="25" t="str">
        <x:f>IF(M58="","",IF(M58&gt;=13,"P0",IF(M58&gt;=10,"P1",IF(M58&gt;=7,"P2","P3"))))</x:f>
      </x:c>
      <x:c r="O58" s="21" t="str"/>
      <x:c r="P58" s="21" t="str"/>
      <x:c r="Q58" s="21" t="str"/>
      <x:c r="R58" s="21" t="str"/>
      <x:c r="S58" s="21" t="str"/>
      <x:c r="T58" s="21" t="str"/>
      <x:c r="U58" s="31" t="str"/>
      <x:c r="V58" s="21" t="str"/>
      <x:c r="W58" s="21" t="str"/>
      <x:c r="X58" s="21" t="str"/>
      <x:c r="Y58" s="31" t="str"/>
      <x:c r="Z58" s="21" t="str"/>
    </x:row>
    <x:row r="59" ht="44" customHeight="1">
      <x:c r="A59" s="21" t="str"/>
      <x:c r="B59" s="31" t="str"/>
      <x:c r="C59" s="21" t="str"/>
      <x:c r="D59" s="21" t="str"/>
      <x:c r="E59" s="21" t="str"/>
      <x:c r="F59" s="21" t="str"/>
      <x:c r="G59" s="21" t="str"/>
      <x:c r="H59" s="21" t="str"/>
      <x:c r="I59" s="21" t="str"/>
      <x:c r="J59" s="25" t="str"/>
      <x:c r="K59" s="25" t="str"/>
      <x:c r="L59" s="25" t="str"/>
      <x:c r="M59" s="25" t="str">
        <x:f>IF(A59="","",IFERROR(VLOOKUP(J59,'口径与下拉'!$A$9:$B$14,2,FALSE),0)+IFERROR(VLOOKUP(K59,'口径与下拉'!$D$9:$E$14,2,FALSE),0)+L59)</x:f>
      </x:c>
      <x:c r="N59" s="25" t="str">
        <x:f>IF(M59="","",IF(M59&gt;=13,"P0",IF(M59&gt;=10,"P1",IF(M59&gt;=7,"P2","P3"))))</x:f>
      </x:c>
      <x:c r="O59" s="21" t="str"/>
      <x:c r="P59" s="21" t="str"/>
      <x:c r="Q59" s="21" t="str"/>
      <x:c r="R59" s="21" t="str"/>
      <x:c r="S59" s="21" t="str"/>
      <x:c r="T59" s="21" t="str"/>
      <x:c r="U59" s="31" t="str"/>
      <x:c r="V59" s="21" t="str"/>
      <x:c r="W59" s="21" t="str"/>
      <x:c r="X59" s="21" t="str"/>
      <x:c r="Y59" s="31" t="str"/>
      <x:c r="Z59" s="21" t="str"/>
    </x:row>
    <x:row r="60" ht="44" customHeight="1">
      <x:c r="A60" s="21" t="str"/>
      <x:c r="B60" s="31" t="str"/>
      <x:c r="C60" s="21" t="str"/>
      <x:c r="D60" s="21" t="str"/>
      <x:c r="E60" s="21" t="str"/>
      <x:c r="F60" s="21" t="str"/>
      <x:c r="G60" s="21" t="str"/>
      <x:c r="H60" s="21" t="str"/>
      <x:c r="I60" s="21" t="str"/>
      <x:c r="J60" s="25" t="str"/>
      <x:c r="K60" s="25" t="str"/>
      <x:c r="L60" s="25" t="str"/>
      <x:c r="M60" s="25" t="str">
        <x:f>IF(A60="","",IFERROR(VLOOKUP(J60,'口径与下拉'!$A$9:$B$14,2,FALSE),0)+IFERROR(VLOOKUP(K60,'口径与下拉'!$D$9:$E$14,2,FALSE),0)+L60)</x:f>
      </x:c>
      <x:c r="N60" s="25" t="str">
        <x:f>IF(M60="","",IF(M60&gt;=13,"P0",IF(M60&gt;=10,"P1",IF(M60&gt;=7,"P2","P3"))))</x:f>
      </x:c>
      <x:c r="O60" s="21" t="str"/>
      <x:c r="P60" s="21" t="str"/>
      <x:c r="Q60" s="21" t="str"/>
      <x:c r="R60" s="21" t="str"/>
      <x:c r="S60" s="21" t="str"/>
      <x:c r="T60" s="21" t="str"/>
      <x:c r="U60" s="31" t="str"/>
      <x:c r="V60" s="21" t="str"/>
      <x:c r="W60" s="21" t="str"/>
      <x:c r="X60" s="21" t="str"/>
      <x:c r="Y60" s="31" t="str"/>
      <x:c r="Z60" s="21" t="str"/>
    </x:row>
    <x:row r="61" ht="44" customHeight="1">
      <x:c r="A61" s="21" t="str"/>
      <x:c r="B61" s="31" t="str"/>
      <x:c r="C61" s="21" t="str"/>
      <x:c r="D61" s="21" t="str"/>
      <x:c r="E61" s="21" t="str"/>
      <x:c r="F61" s="21" t="str"/>
      <x:c r="G61" s="21" t="str"/>
      <x:c r="H61" s="21" t="str"/>
      <x:c r="I61" s="21" t="str"/>
      <x:c r="J61" s="25" t="str"/>
      <x:c r="K61" s="25" t="str"/>
      <x:c r="L61" s="25" t="str"/>
      <x:c r="M61" s="25" t="str">
        <x:f>IF(A61="","",IFERROR(VLOOKUP(J61,'口径与下拉'!$A$9:$B$14,2,FALSE),0)+IFERROR(VLOOKUP(K61,'口径与下拉'!$D$9:$E$14,2,FALSE),0)+L61)</x:f>
      </x:c>
      <x:c r="N61" s="25" t="str">
        <x:f>IF(M61="","",IF(M61&gt;=13,"P0",IF(M61&gt;=10,"P1",IF(M61&gt;=7,"P2","P3"))))</x:f>
      </x:c>
      <x:c r="O61" s="21" t="str"/>
      <x:c r="P61" s="21" t="str"/>
      <x:c r="Q61" s="21" t="str"/>
      <x:c r="R61" s="21" t="str"/>
      <x:c r="S61" s="21" t="str"/>
      <x:c r="T61" s="21" t="str"/>
      <x:c r="U61" s="31" t="str"/>
      <x:c r="V61" s="21" t="str"/>
      <x:c r="W61" s="21" t="str"/>
      <x:c r="X61" s="21" t="str"/>
      <x:c r="Y61" s="31" t="str"/>
      <x:c r="Z61" s="21" t="str"/>
    </x:row>
    <x:row r="62" ht="44" customHeight="1">
      <x:c r="A62" s="21" t="str"/>
      <x:c r="B62" s="31" t="str"/>
      <x:c r="C62" s="21" t="str"/>
      <x:c r="D62" s="21" t="str"/>
      <x:c r="E62" s="21" t="str"/>
      <x:c r="F62" s="21" t="str"/>
      <x:c r="G62" s="21" t="str"/>
      <x:c r="H62" s="21" t="str"/>
      <x:c r="I62" s="21" t="str"/>
      <x:c r="J62" s="25" t="str"/>
      <x:c r="K62" s="25" t="str"/>
      <x:c r="L62" s="25" t="str"/>
      <x:c r="M62" s="25" t="str">
        <x:f>IF(A62="","",IFERROR(VLOOKUP(J62,'口径与下拉'!$A$9:$B$14,2,FALSE),0)+IFERROR(VLOOKUP(K62,'口径与下拉'!$D$9:$E$14,2,FALSE),0)+L62)</x:f>
      </x:c>
      <x:c r="N62" s="25" t="str">
        <x:f>IF(M62="","",IF(M62&gt;=13,"P0",IF(M62&gt;=10,"P1",IF(M62&gt;=7,"P2","P3"))))</x:f>
      </x:c>
      <x:c r="O62" s="21" t="str"/>
      <x:c r="P62" s="21" t="str"/>
      <x:c r="Q62" s="21" t="str"/>
      <x:c r="R62" s="21" t="str"/>
      <x:c r="S62" s="21" t="str"/>
      <x:c r="T62" s="21" t="str"/>
      <x:c r="U62" s="31" t="str"/>
      <x:c r="V62" s="21" t="str"/>
      <x:c r="W62" s="21" t="str"/>
      <x:c r="X62" s="21" t="str"/>
      <x:c r="Y62" s="31" t="str"/>
      <x:c r="Z62" s="21" t="str"/>
    </x:row>
    <x:row r="63" ht="44" customHeight="1">
      <x:c r="A63" s="21" t="str"/>
      <x:c r="B63" s="31" t="str"/>
      <x:c r="C63" s="21" t="str"/>
      <x:c r="D63" s="21" t="str"/>
      <x:c r="E63" s="21" t="str"/>
      <x:c r="F63" s="21" t="str"/>
      <x:c r="G63" s="21" t="str"/>
      <x:c r="H63" s="21" t="str"/>
      <x:c r="I63" s="21" t="str"/>
      <x:c r="J63" s="25" t="str"/>
      <x:c r="K63" s="25" t="str"/>
      <x:c r="L63" s="25" t="str"/>
      <x:c r="M63" s="25" t="str">
        <x:f>IF(A63="","",IFERROR(VLOOKUP(J63,'口径与下拉'!$A$9:$B$14,2,FALSE),0)+IFERROR(VLOOKUP(K63,'口径与下拉'!$D$9:$E$14,2,FALSE),0)+L63)</x:f>
      </x:c>
      <x:c r="N63" s="25" t="str">
        <x:f>IF(M63="","",IF(M63&gt;=13,"P0",IF(M63&gt;=10,"P1",IF(M63&gt;=7,"P2","P3"))))</x:f>
      </x:c>
      <x:c r="O63" s="21" t="str"/>
      <x:c r="P63" s="21" t="str"/>
      <x:c r="Q63" s="21" t="str"/>
      <x:c r="R63" s="21" t="str"/>
      <x:c r="S63" s="21" t="str"/>
      <x:c r="T63" s="21" t="str"/>
      <x:c r="U63" s="31" t="str"/>
      <x:c r="V63" s="21" t="str"/>
      <x:c r="W63" s="21" t="str"/>
      <x:c r="X63" s="21" t="str"/>
      <x:c r="Y63" s="31" t="str"/>
      <x:c r="Z63" s="21" t="str"/>
    </x:row>
    <x:row r="64" ht="44" customHeight="1">
      <x:c r="A64" s="21" t="str"/>
      <x:c r="B64" s="31" t="str"/>
      <x:c r="C64" s="21" t="str"/>
      <x:c r="D64" s="21" t="str"/>
      <x:c r="E64" s="21" t="str"/>
      <x:c r="F64" s="21" t="str"/>
      <x:c r="G64" s="21" t="str"/>
      <x:c r="H64" s="21" t="str"/>
      <x:c r="I64" s="21" t="str"/>
      <x:c r="J64" s="25" t="str"/>
      <x:c r="K64" s="25" t="str"/>
      <x:c r="L64" s="25" t="str"/>
      <x:c r="M64" s="25" t="str">
        <x:f>IF(A64="","",IFERROR(VLOOKUP(J64,'口径与下拉'!$A$9:$B$14,2,FALSE),0)+IFERROR(VLOOKUP(K64,'口径与下拉'!$D$9:$E$14,2,FALSE),0)+L64)</x:f>
      </x:c>
      <x:c r="N64" s="25" t="str">
        <x:f>IF(M64="","",IF(M64&gt;=13,"P0",IF(M64&gt;=10,"P1",IF(M64&gt;=7,"P2","P3"))))</x:f>
      </x:c>
      <x:c r="O64" s="21" t="str"/>
      <x:c r="P64" s="21" t="str"/>
      <x:c r="Q64" s="21" t="str"/>
      <x:c r="R64" s="21" t="str"/>
      <x:c r="S64" s="21" t="str"/>
      <x:c r="T64" s="21" t="str"/>
      <x:c r="U64" s="31" t="str"/>
      <x:c r="V64" s="21" t="str"/>
      <x:c r="W64" s="21" t="str"/>
      <x:c r="X64" s="21" t="str"/>
      <x:c r="Y64" s="31" t="str"/>
      <x:c r="Z64" s="21" t="str"/>
    </x:row>
    <x:row r="65" ht="44" customHeight="1">
      <x:c r="A65" s="21" t="str"/>
      <x:c r="B65" s="31" t="str"/>
      <x:c r="C65" s="21" t="str"/>
      <x:c r="D65" s="21" t="str"/>
      <x:c r="E65" s="21" t="str"/>
      <x:c r="F65" s="21" t="str"/>
      <x:c r="G65" s="21" t="str"/>
      <x:c r="H65" s="21" t="str"/>
      <x:c r="I65" s="21" t="str"/>
      <x:c r="J65" s="25" t="str"/>
      <x:c r="K65" s="25" t="str"/>
      <x:c r="L65" s="25" t="str"/>
      <x:c r="M65" s="25" t="str">
        <x:f>IF(A65="","",IFERROR(VLOOKUP(J65,'口径与下拉'!$A$9:$B$14,2,FALSE),0)+IFERROR(VLOOKUP(K65,'口径与下拉'!$D$9:$E$14,2,FALSE),0)+L65)</x:f>
      </x:c>
      <x:c r="N65" s="25" t="str">
        <x:f>IF(M65="","",IF(M65&gt;=13,"P0",IF(M65&gt;=10,"P1",IF(M65&gt;=7,"P2","P3"))))</x:f>
      </x:c>
      <x:c r="O65" s="21" t="str"/>
      <x:c r="P65" s="21" t="str"/>
      <x:c r="Q65" s="21" t="str"/>
      <x:c r="R65" s="21" t="str"/>
      <x:c r="S65" s="21" t="str"/>
      <x:c r="T65" s="21" t="str"/>
      <x:c r="U65" s="31" t="str"/>
      <x:c r="V65" s="21" t="str"/>
      <x:c r="W65" s="21" t="str"/>
      <x:c r="X65" s="21" t="str"/>
      <x:c r="Y65" s="31" t="str"/>
      <x:c r="Z65" s="21" t="str"/>
    </x:row>
    <x:row r="66" ht="44" customHeight="1">
      <x:c r="A66" s="21" t="str"/>
      <x:c r="B66" s="31" t="str"/>
      <x:c r="C66" s="21" t="str"/>
      <x:c r="D66" s="21" t="str"/>
      <x:c r="E66" s="21" t="str"/>
      <x:c r="F66" s="21" t="str"/>
      <x:c r="G66" s="21" t="str"/>
      <x:c r="H66" s="21" t="str"/>
      <x:c r="I66" s="21" t="str"/>
      <x:c r="J66" s="25" t="str"/>
      <x:c r="K66" s="25" t="str"/>
      <x:c r="L66" s="25" t="str"/>
      <x:c r="M66" s="25" t="str">
        <x:f>IF(A66="","",IFERROR(VLOOKUP(J66,'口径与下拉'!$A$9:$B$14,2,FALSE),0)+IFERROR(VLOOKUP(K66,'口径与下拉'!$D$9:$E$14,2,FALSE),0)+L66)</x:f>
      </x:c>
      <x:c r="N66" s="25" t="str">
        <x:f>IF(M66="","",IF(M66&gt;=13,"P0",IF(M66&gt;=10,"P1",IF(M66&gt;=7,"P2","P3"))))</x:f>
      </x:c>
      <x:c r="O66" s="21" t="str"/>
      <x:c r="P66" s="21" t="str"/>
      <x:c r="Q66" s="21" t="str"/>
      <x:c r="R66" s="21" t="str"/>
      <x:c r="S66" s="21" t="str"/>
      <x:c r="T66" s="21" t="str"/>
      <x:c r="U66" s="31" t="str"/>
      <x:c r="V66" s="21" t="str"/>
      <x:c r="W66" s="21" t="str"/>
      <x:c r="X66" s="21" t="str"/>
      <x:c r="Y66" s="31" t="str"/>
      <x:c r="Z66" s="21" t="str"/>
    </x:row>
    <x:row r="67" ht="44" customHeight="1">
      <x:c r="A67" s="21" t="str"/>
      <x:c r="B67" s="31" t="str"/>
      <x:c r="C67" s="21" t="str"/>
      <x:c r="D67" s="21" t="str"/>
      <x:c r="E67" s="21" t="str"/>
      <x:c r="F67" s="21" t="str"/>
      <x:c r="G67" s="21" t="str"/>
      <x:c r="H67" s="21" t="str"/>
      <x:c r="I67" s="21" t="str"/>
      <x:c r="J67" s="25" t="str"/>
      <x:c r="K67" s="25" t="str"/>
      <x:c r="L67" s="25" t="str"/>
      <x:c r="M67" s="25" t="str">
        <x:f>IF(A67="","",IFERROR(VLOOKUP(J67,'口径与下拉'!$A$9:$B$14,2,FALSE),0)+IFERROR(VLOOKUP(K67,'口径与下拉'!$D$9:$E$14,2,FALSE),0)+L67)</x:f>
      </x:c>
      <x:c r="N67" s="25" t="str">
        <x:f>IF(M67="","",IF(M67&gt;=13,"P0",IF(M67&gt;=10,"P1",IF(M67&gt;=7,"P2","P3"))))</x:f>
      </x:c>
      <x:c r="O67" s="21" t="str"/>
      <x:c r="P67" s="21" t="str"/>
      <x:c r="Q67" s="21" t="str"/>
      <x:c r="R67" s="21" t="str"/>
      <x:c r="S67" s="21" t="str"/>
      <x:c r="T67" s="21" t="str"/>
      <x:c r="U67" s="31" t="str"/>
      <x:c r="V67" s="21" t="str"/>
      <x:c r="W67" s="21" t="str"/>
      <x:c r="X67" s="21" t="str"/>
      <x:c r="Y67" s="31" t="str"/>
      <x:c r="Z67" s="21" t="str"/>
    </x:row>
    <x:row r="68" ht="44" customHeight="1">
      <x:c r="A68" s="21" t="str"/>
      <x:c r="B68" s="31" t="str"/>
      <x:c r="C68" s="21" t="str"/>
      <x:c r="D68" s="21" t="str"/>
      <x:c r="E68" s="21" t="str"/>
      <x:c r="F68" s="21" t="str"/>
      <x:c r="G68" s="21" t="str"/>
      <x:c r="H68" s="21" t="str"/>
      <x:c r="I68" s="21" t="str"/>
      <x:c r="J68" s="25" t="str"/>
      <x:c r="K68" s="25" t="str"/>
      <x:c r="L68" s="25" t="str"/>
      <x:c r="M68" s="25" t="str">
        <x:f>IF(A68="","",IFERROR(VLOOKUP(J68,'口径与下拉'!$A$9:$B$14,2,FALSE),0)+IFERROR(VLOOKUP(K68,'口径与下拉'!$D$9:$E$14,2,FALSE),0)+L68)</x:f>
      </x:c>
      <x:c r="N68" s="25" t="str">
        <x:f>IF(M68="","",IF(M68&gt;=13,"P0",IF(M68&gt;=10,"P1",IF(M68&gt;=7,"P2","P3"))))</x:f>
      </x:c>
      <x:c r="O68" s="21" t="str"/>
      <x:c r="P68" s="21" t="str"/>
      <x:c r="Q68" s="21" t="str"/>
      <x:c r="R68" s="21" t="str"/>
      <x:c r="S68" s="21" t="str"/>
      <x:c r="T68" s="21" t="str"/>
      <x:c r="U68" s="31" t="str"/>
      <x:c r="V68" s="21" t="str"/>
      <x:c r="W68" s="21" t="str"/>
      <x:c r="X68" s="21" t="str"/>
      <x:c r="Y68" s="31" t="str"/>
      <x:c r="Z68" s="21" t="str"/>
    </x:row>
    <x:row r="69" ht="44" customHeight="1">
      <x:c r="A69" s="21" t="str"/>
      <x:c r="B69" s="31" t="str"/>
      <x:c r="C69" s="21" t="str"/>
      <x:c r="D69" s="21" t="str"/>
      <x:c r="E69" s="21" t="str"/>
      <x:c r="F69" s="21" t="str"/>
      <x:c r="G69" s="21" t="str"/>
      <x:c r="H69" s="21" t="str"/>
      <x:c r="I69" s="21" t="str"/>
      <x:c r="J69" s="25" t="str"/>
      <x:c r="K69" s="25" t="str"/>
      <x:c r="L69" s="25" t="str"/>
      <x:c r="M69" s="25" t="str">
        <x:f>IF(A69="","",IFERROR(VLOOKUP(J69,'口径与下拉'!$A$9:$B$14,2,FALSE),0)+IFERROR(VLOOKUP(K69,'口径与下拉'!$D$9:$E$14,2,FALSE),0)+L69)</x:f>
      </x:c>
      <x:c r="N69" s="25" t="str">
        <x:f>IF(M69="","",IF(M69&gt;=13,"P0",IF(M69&gt;=10,"P1",IF(M69&gt;=7,"P2","P3"))))</x:f>
      </x:c>
      <x:c r="O69" s="21" t="str"/>
      <x:c r="P69" s="21" t="str"/>
      <x:c r="Q69" s="21" t="str"/>
      <x:c r="R69" s="21" t="str"/>
      <x:c r="S69" s="21" t="str"/>
      <x:c r="T69" s="21" t="str"/>
      <x:c r="U69" s="31" t="str"/>
      <x:c r="V69" s="21" t="str"/>
      <x:c r="W69" s="21" t="str"/>
      <x:c r="X69" s="21" t="str"/>
      <x:c r="Y69" s="31" t="str"/>
      <x:c r="Z69" s="21" t="str"/>
    </x:row>
    <x:row r="70" ht="44" customHeight="1">
      <x:c r="A70" s="21" t="str"/>
      <x:c r="B70" s="31" t="str"/>
      <x:c r="C70" s="21" t="str"/>
      <x:c r="D70" s="21" t="str"/>
      <x:c r="E70" s="21" t="str"/>
      <x:c r="F70" s="21" t="str"/>
      <x:c r="G70" s="21" t="str"/>
      <x:c r="H70" s="21" t="str"/>
      <x:c r="I70" s="21" t="str"/>
      <x:c r="J70" s="25" t="str"/>
      <x:c r="K70" s="25" t="str"/>
      <x:c r="L70" s="25" t="str"/>
      <x:c r="M70" s="25" t="str">
        <x:f>IF(A70="","",IFERROR(VLOOKUP(J70,'口径与下拉'!$A$9:$B$14,2,FALSE),0)+IFERROR(VLOOKUP(K70,'口径与下拉'!$D$9:$E$14,2,FALSE),0)+L70)</x:f>
      </x:c>
      <x:c r="N70" s="25" t="str">
        <x:f>IF(M70="","",IF(M70&gt;=13,"P0",IF(M70&gt;=10,"P1",IF(M70&gt;=7,"P2","P3"))))</x:f>
      </x:c>
      <x:c r="O70" s="21" t="str"/>
      <x:c r="P70" s="21" t="str"/>
      <x:c r="Q70" s="21" t="str"/>
      <x:c r="R70" s="21" t="str"/>
      <x:c r="S70" s="21" t="str"/>
      <x:c r="T70" s="21" t="str"/>
      <x:c r="U70" s="31" t="str"/>
      <x:c r="V70" s="21" t="str"/>
      <x:c r="W70" s="21" t="str"/>
      <x:c r="X70" s="21" t="str"/>
      <x:c r="Y70" s="31" t="str"/>
      <x:c r="Z70" s="21" t="str"/>
    </x:row>
    <x:row r="71" ht="44" customHeight="1">
      <x:c r="A71" s="21" t="str"/>
      <x:c r="B71" s="31" t="str"/>
      <x:c r="C71" s="21" t="str"/>
      <x:c r="D71" s="21" t="str"/>
      <x:c r="E71" s="21" t="str"/>
      <x:c r="F71" s="21" t="str"/>
      <x:c r="G71" s="21" t="str"/>
      <x:c r="H71" s="21" t="str"/>
      <x:c r="I71" s="21" t="str"/>
      <x:c r="J71" s="25" t="str"/>
      <x:c r="K71" s="25" t="str"/>
      <x:c r="L71" s="25" t="str"/>
      <x:c r="M71" s="25" t="str">
        <x:f>IF(A71="","",IFERROR(VLOOKUP(J71,'口径与下拉'!$A$9:$B$14,2,FALSE),0)+IFERROR(VLOOKUP(K71,'口径与下拉'!$D$9:$E$14,2,FALSE),0)+L71)</x:f>
      </x:c>
      <x:c r="N71" s="25" t="str">
        <x:f>IF(M71="","",IF(M71&gt;=13,"P0",IF(M71&gt;=10,"P1",IF(M71&gt;=7,"P2","P3"))))</x:f>
      </x:c>
      <x:c r="O71" s="21" t="str"/>
      <x:c r="P71" s="21" t="str"/>
      <x:c r="Q71" s="21" t="str"/>
      <x:c r="R71" s="21" t="str"/>
      <x:c r="S71" s="21" t="str"/>
      <x:c r="T71" s="21" t="str"/>
      <x:c r="U71" s="31" t="str"/>
      <x:c r="V71" s="21" t="str"/>
      <x:c r="W71" s="21" t="str"/>
      <x:c r="X71" s="21" t="str"/>
      <x:c r="Y71" s="31" t="str"/>
      <x:c r="Z71" s="21" t="str"/>
    </x:row>
    <x:row r="72" ht="44" customHeight="1">
      <x:c r="A72" s="21" t="str"/>
      <x:c r="B72" s="31" t="str"/>
      <x:c r="C72" s="21" t="str"/>
      <x:c r="D72" s="21" t="str"/>
      <x:c r="E72" s="21" t="str"/>
      <x:c r="F72" s="21" t="str"/>
      <x:c r="G72" s="21" t="str"/>
      <x:c r="H72" s="21" t="str"/>
      <x:c r="I72" s="21" t="str"/>
      <x:c r="J72" s="25" t="str"/>
      <x:c r="K72" s="25" t="str"/>
      <x:c r="L72" s="25" t="str"/>
      <x:c r="M72" s="25" t="str">
        <x:f>IF(A72="","",IFERROR(VLOOKUP(J72,'口径与下拉'!$A$9:$B$14,2,FALSE),0)+IFERROR(VLOOKUP(K72,'口径与下拉'!$D$9:$E$14,2,FALSE),0)+L72)</x:f>
      </x:c>
      <x:c r="N72" s="25" t="str">
        <x:f>IF(M72="","",IF(M72&gt;=13,"P0",IF(M72&gt;=10,"P1",IF(M72&gt;=7,"P2","P3"))))</x:f>
      </x:c>
      <x:c r="O72" s="21" t="str"/>
      <x:c r="P72" s="21" t="str"/>
      <x:c r="Q72" s="21" t="str"/>
      <x:c r="R72" s="21" t="str"/>
      <x:c r="S72" s="21" t="str"/>
      <x:c r="T72" s="21" t="str"/>
      <x:c r="U72" s="31" t="str"/>
      <x:c r="V72" s="21" t="str"/>
      <x:c r="W72" s="21" t="str"/>
      <x:c r="X72" s="21" t="str"/>
      <x:c r="Y72" s="31" t="str"/>
      <x:c r="Z72" s="21" t="str"/>
    </x:row>
    <x:row r="73" ht="44" customHeight="1">
      <x:c r="A73" s="21" t="str"/>
      <x:c r="B73" s="31" t="str"/>
      <x:c r="C73" s="21" t="str"/>
      <x:c r="D73" s="21" t="str"/>
      <x:c r="E73" s="21" t="str"/>
      <x:c r="F73" s="21" t="str"/>
      <x:c r="G73" s="21" t="str"/>
      <x:c r="H73" s="21" t="str"/>
      <x:c r="I73" s="21" t="str"/>
      <x:c r="J73" s="25" t="str"/>
      <x:c r="K73" s="25" t="str"/>
      <x:c r="L73" s="25" t="str"/>
      <x:c r="M73" s="25" t="str">
        <x:f>IF(A73="","",IFERROR(VLOOKUP(J73,'口径与下拉'!$A$9:$B$14,2,FALSE),0)+IFERROR(VLOOKUP(K73,'口径与下拉'!$D$9:$E$14,2,FALSE),0)+L73)</x:f>
      </x:c>
      <x:c r="N73" s="25" t="str">
        <x:f>IF(M73="","",IF(M73&gt;=13,"P0",IF(M73&gt;=10,"P1",IF(M73&gt;=7,"P2","P3"))))</x:f>
      </x:c>
      <x:c r="O73" s="21" t="str"/>
      <x:c r="P73" s="21" t="str"/>
      <x:c r="Q73" s="21" t="str"/>
      <x:c r="R73" s="21" t="str"/>
      <x:c r="S73" s="21" t="str"/>
      <x:c r="T73" s="21" t="str"/>
      <x:c r="U73" s="31" t="str"/>
      <x:c r="V73" s="21" t="str"/>
      <x:c r="W73" s="21" t="str"/>
      <x:c r="X73" s="21" t="str"/>
      <x:c r="Y73" s="31" t="str"/>
      <x:c r="Z73" s="21" t="str"/>
    </x:row>
    <x:row r="74" ht="44" customHeight="1">
      <x:c r="A74" s="21" t="str"/>
      <x:c r="B74" s="31" t="str"/>
      <x:c r="C74" s="21" t="str"/>
      <x:c r="D74" s="21" t="str"/>
      <x:c r="E74" s="21" t="str"/>
      <x:c r="F74" s="21" t="str"/>
      <x:c r="G74" s="21" t="str"/>
      <x:c r="H74" s="21" t="str"/>
      <x:c r="I74" s="21" t="str"/>
      <x:c r="J74" s="25" t="str"/>
      <x:c r="K74" s="25" t="str"/>
      <x:c r="L74" s="25" t="str"/>
      <x:c r="M74" s="25" t="str">
        <x:f>IF(A74="","",IFERROR(VLOOKUP(J74,'口径与下拉'!$A$9:$B$14,2,FALSE),0)+IFERROR(VLOOKUP(K74,'口径与下拉'!$D$9:$E$14,2,FALSE),0)+L74)</x:f>
      </x:c>
      <x:c r="N74" s="25" t="str">
        <x:f>IF(M74="","",IF(M74&gt;=13,"P0",IF(M74&gt;=10,"P1",IF(M74&gt;=7,"P2","P3"))))</x:f>
      </x:c>
      <x:c r="O74" s="21" t="str"/>
      <x:c r="P74" s="21" t="str"/>
      <x:c r="Q74" s="21" t="str"/>
      <x:c r="R74" s="21" t="str"/>
      <x:c r="S74" s="21" t="str"/>
      <x:c r="T74" s="21" t="str"/>
      <x:c r="U74" s="31" t="str"/>
      <x:c r="V74" s="21" t="str"/>
      <x:c r="W74" s="21" t="str"/>
      <x:c r="X74" s="21" t="str"/>
      <x:c r="Y74" s="31" t="str"/>
      <x:c r="Z74" s="21" t="str"/>
    </x:row>
    <x:row r="75" ht="44" customHeight="1">
      <x:c r="A75" s="21" t="str"/>
      <x:c r="B75" s="31" t="str"/>
      <x:c r="C75" s="21" t="str"/>
      <x:c r="D75" s="21" t="str"/>
      <x:c r="E75" s="21" t="str"/>
      <x:c r="F75" s="21" t="str"/>
      <x:c r="G75" s="21" t="str"/>
      <x:c r="H75" s="21" t="str"/>
      <x:c r="I75" s="21" t="str"/>
      <x:c r="J75" s="25" t="str"/>
      <x:c r="K75" s="25" t="str"/>
      <x:c r="L75" s="25" t="str"/>
      <x:c r="M75" s="25" t="str">
        <x:f>IF(A75="","",IFERROR(VLOOKUP(J75,'口径与下拉'!$A$9:$B$14,2,FALSE),0)+IFERROR(VLOOKUP(K75,'口径与下拉'!$D$9:$E$14,2,FALSE),0)+L75)</x:f>
      </x:c>
      <x:c r="N75" s="25" t="str">
        <x:f>IF(M75="","",IF(M75&gt;=13,"P0",IF(M75&gt;=10,"P1",IF(M75&gt;=7,"P2","P3"))))</x:f>
      </x:c>
      <x:c r="O75" s="21" t="str"/>
      <x:c r="P75" s="21" t="str"/>
      <x:c r="Q75" s="21" t="str"/>
      <x:c r="R75" s="21" t="str"/>
      <x:c r="S75" s="21" t="str"/>
      <x:c r="T75" s="21" t="str"/>
      <x:c r="U75" s="31" t="str"/>
      <x:c r="V75" s="21" t="str"/>
      <x:c r="W75" s="21" t="str"/>
      <x:c r="X75" s="21" t="str"/>
      <x:c r="Y75" s="31" t="str"/>
      <x:c r="Z75" s="21" t="str"/>
    </x:row>
    <x:row r="76" ht="44" customHeight="1">
      <x:c r="A76" s="21" t="str"/>
      <x:c r="B76" s="31" t="str"/>
      <x:c r="C76" s="21" t="str"/>
      <x:c r="D76" s="21" t="str"/>
      <x:c r="E76" s="21" t="str"/>
      <x:c r="F76" s="21" t="str"/>
      <x:c r="G76" s="21" t="str"/>
      <x:c r="H76" s="21" t="str"/>
      <x:c r="I76" s="21" t="str"/>
      <x:c r="J76" s="25" t="str"/>
      <x:c r="K76" s="25" t="str"/>
      <x:c r="L76" s="25" t="str"/>
      <x:c r="M76" s="25" t="str">
        <x:f>IF(A76="","",IFERROR(VLOOKUP(J76,'口径与下拉'!$A$9:$B$14,2,FALSE),0)+IFERROR(VLOOKUP(K76,'口径与下拉'!$D$9:$E$14,2,FALSE),0)+L76)</x:f>
      </x:c>
      <x:c r="N76" s="25" t="str">
        <x:f>IF(M76="","",IF(M76&gt;=13,"P0",IF(M76&gt;=10,"P1",IF(M76&gt;=7,"P2","P3"))))</x:f>
      </x:c>
      <x:c r="O76" s="21" t="str"/>
      <x:c r="P76" s="21" t="str"/>
      <x:c r="Q76" s="21" t="str"/>
      <x:c r="R76" s="21" t="str"/>
      <x:c r="S76" s="21" t="str"/>
      <x:c r="T76" s="21" t="str"/>
      <x:c r="U76" s="31" t="str"/>
      <x:c r="V76" s="21" t="str"/>
      <x:c r="W76" s="21" t="str"/>
      <x:c r="X76" s="21" t="str"/>
      <x:c r="Y76" s="31" t="str"/>
      <x:c r="Z76" s="21" t="str"/>
    </x:row>
    <x:row r="77" ht="44" customHeight="1">
      <x:c r="A77" s="21" t="str"/>
      <x:c r="B77" s="31" t="str"/>
      <x:c r="C77" s="21" t="str"/>
      <x:c r="D77" s="21" t="str"/>
      <x:c r="E77" s="21" t="str"/>
      <x:c r="F77" s="21" t="str"/>
      <x:c r="G77" s="21" t="str"/>
      <x:c r="H77" s="21" t="str"/>
      <x:c r="I77" s="21" t="str"/>
      <x:c r="J77" s="25" t="str"/>
      <x:c r="K77" s="25" t="str"/>
      <x:c r="L77" s="25" t="str"/>
      <x:c r="M77" s="25" t="str">
        <x:f>IF(A77="","",IFERROR(VLOOKUP(J77,'口径与下拉'!$A$9:$B$14,2,FALSE),0)+IFERROR(VLOOKUP(K77,'口径与下拉'!$D$9:$E$14,2,FALSE),0)+L77)</x:f>
      </x:c>
      <x:c r="N77" s="25" t="str">
        <x:f>IF(M77="","",IF(M77&gt;=13,"P0",IF(M77&gt;=10,"P1",IF(M77&gt;=7,"P2","P3"))))</x:f>
      </x:c>
      <x:c r="O77" s="21" t="str"/>
      <x:c r="P77" s="21" t="str"/>
      <x:c r="Q77" s="21" t="str"/>
      <x:c r="R77" s="21" t="str"/>
      <x:c r="S77" s="21" t="str"/>
      <x:c r="T77" s="21" t="str"/>
      <x:c r="U77" s="31" t="str"/>
      <x:c r="V77" s="21" t="str"/>
      <x:c r="W77" s="21" t="str"/>
      <x:c r="X77" s="21" t="str"/>
      <x:c r="Y77" s="31" t="str"/>
      <x:c r="Z77" s="21" t="str"/>
    </x:row>
    <x:row r="78" ht="44" customHeight="1">
      <x:c r="A78" s="21" t="str"/>
      <x:c r="B78" s="31" t="str"/>
      <x:c r="C78" s="21" t="str"/>
      <x:c r="D78" s="21" t="str"/>
      <x:c r="E78" s="21" t="str"/>
      <x:c r="F78" s="21" t="str"/>
      <x:c r="G78" s="21" t="str"/>
      <x:c r="H78" s="21" t="str"/>
      <x:c r="I78" s="21" t="str"/>
      <x:c r="J78" s="25" t="str"/>
      <x:c r="K78" s="25" t="str"/>
      <x:c r="L78" s="25" t="str"/>
      <x:c r="M78" s="25" t="str">
        <x:f>IF(A78="","",IFERROR(VLOOKUP(J78,'口径与下拉'!$A$9:$B$14,2,FALSE),0)+IFERROR(VLOOKUP(K78,'口径与下拉'!$D$9:$E$14,2,FALSE),0)+L78)</x:f>
      </x:c>
      <x:c r="N78" s="25" t="str">
        <x:f>IF(M78="","",IF(M78&gt;=13,"P0",IF(M78&gt;=10,"P1",IF(M78&gt;=7,"P2","P3"))))</x:f>
      </x:c>
      <x:c r="O78" s="21" t="str"/>
      <x:c r="P78" s="21" t="str"/>
      <x:c r="Q78" s="21" t="str"/>
      <x:c r="R78" s="21" t="str"/>
      <x:c r="S78" s="21" t="str"/>
      <x:c r="T78" s="21" t="str"/>
      <x:c r="U78" s="31" t="str"/>
      <x:c r="V78" s="21" t="str"/>
      <x:c r="W78" s="21" t="str"/>
      <x:c r="X78" s="21" t="str"/>
      <x:c r="Y78" s="31" t="str"/>
      <x:c r="Z78" s="21" t="str"/>
    </x:row>
    <x:row r="79" ht="44" customHeight="1">
      <x:c r="A79" s="21" t="str"/>
      <x:c r="B79" s="31" t="str"/>
      <x:c r="C79" s="21" t="str"/>
      <x:c r="D79" s="21" t="str"/>
      <x:c r="E79" s="21" t="str"/>
      <x:c r="F79" s="21" t="str"/>
      <x:c r="G79" s="21" t="str"/>
      <x:c r="H79" s="21" t="str"/>
      <x:c r="I79" s="21" t="str"/>
      <x:c r="J79" s="25" t="str"/>
      <x:c r="K79" s="25" t="str"/>
      <x:c r="L79" s="25" t="str"/>
      <x:c r="M79" s="25" t="str">
        <x:f>IF(A79="","",IFERROR(VLOOKUP(J79,'口径与下拉'!$A$9:$B$14,2,FALSE),0)+IFERROR(VLOOKUP(K79,'口径与下拉'!$D$9:$E$14,2,FALSE),0)+L79)</x:f>
      </x:c>
      <x:c r="N79" s="25" t="str">
        <x:f>IF(M79="","",IF(M79&gt;=13,"P0",IF(M79&gt;=10,"P1",IF(M79&gt;=7,"P2","P3"))))</x:f>
      </x:c>
      <x:c r="O79" s="21" t="str"/>
      <x:c r="P79" s="21" t="str"/>
      <x:c r="Q79" s="21" t="str"/>
      <x:c r="R79" s="21" t="str"/>
      <x:c r="S79" s="21" t="str"/>
      <x:c r="T79" s="21" t="str"/>
      <x:c r="U79" s="31" t="str"/>
      <x:c r="V79" s="21" t="str"/>
      <x:c r="W79" s="21" t="str"/>
      <x:c r="X79" s="21" t="str"/>
      <x:c r="Y79" s="31" t="str"/>
      <x:c r="Z79" s="21" t="str"/>
    </x:row>
    <x:row r="80" ht="44" customHeight="1">
      <x:c r="A80" s="21" t="str"/>
      <x:c r="B80" s="31" t="str"/>
      <x:c r="C80" s="21" t="str"/>
      <x:c r="D80" s="21" t="str"/>
      <x:c r="E80" s="21" t="str"/>
      <x:c r="F80" s="21" t="str"/>
      <x:c r="G80" s="21" t="str"/>
      <x:c r="H80" s="21" t="str"/>
      <x:c r="I80" s="21" t="str"/>
      <x:c r="J80" s="25" t="str"/>
      <x:c r="K80" s="25" t="str"/>
      <x:c r="L80" s="25" t="str"/>
      <x:c r="M80" s="25" t="str">
        <x:f>IF(A80="","",IFERROR(VLOOKUP(J80,'口径与下拉'!$A$9:$B$14,2,FALSE),0)+IFERROR(VLOOKUP(K80,'口径与下拉'!$D$9:$E$14,2,FALSE),0)+L80)</x:f>
      </x:c>
      <x:c r="N80" s="25" t="str">
        <x:f>IF(M80="","",IF(M80&gt;=13,"P0",IF(M80&gt;=10,"P1",IF(M80&gt;=7,"P2","P3"))))</x:f>
      </x:c>
      <x:c r="O80" s="21" t="str"/>
      <x:c r="P80" s="21" t="str"/>
      <x:c r="Q80" s="21" t="str"/>
      <x:c r="R80" s="21" t="str"/>
      <x:c r="S80" s="21" t="str"/>
      <x:c r="T80" s="21" t="str"/>
      <x:c r="U80" s="31" t="str"/>
      <x:c r="V80" s="21" t="str"/>
      <x:c r="W80" s="21" t="str"/>
      <x:c r="X80" s="21" t="str"/>
      <x:c r="Y80" s="31" t="str"/>
      <x:c r="Z80" s="21" t="str"/>
    </x:row>
    <x:row r="81" ht="44" customHeight="1">
      <x:c r="A81" s="21" t="str"/>
      <x:c r="B81" s="31" t="str"/>
      <x:c r="C81" s="21" t="str"/>
      <x:c r="D81" s="21" t="str"/>
      <x:c r="E81" s="21" t="str"/>
      <x:c r="F81" s="21" t="str"/>
      <x:c r="G81" s="21" t="str"/>
      <x:c r="H81" s="21" t="str"/>
      <x:c r="I81" s="21" t="str"/>
      <x:c r="J81" s="25" t="str"/>
      <x:c r="K81" s="25" t="str"/>
      <x:c r="L81" s="25" t="str"/>
      <x:c r="M81" s="25" t="str">
        <x:f>IF(A81="","",IFERROR(VLOOKUP(J81,'口径与下拉'!$A$9:$B$14,2,FALSE),0)+IFERROR(VLOOKUP(K81,'口径与下拉'!$D$9:$E$14,2,FALSE),0)+L81)</x:f>
      </x:c>
      <x:c r="N81" s="25" t="str">
        <x:f>IF(M81="","",IF(M81&gt;=13,"P0",IF(M81&gt;=10,"P1",IF(M81&gt;=7,"P2","P3"))))</x:f>
      </x:c>
      <x:c r="O81" s="21" t="str"/>
      <x:c r="P81" s="21" t="str"/>
      <x:c r="Q81" s="21" t="str"/>
      <x:c r="R81" s="21" t="str"/>
      <x:c r="S81" s="21" t="str"/>
      <x:c r="T81" s="21" t="str"/>
      <x:c r="U81" s="31" t="str"/>
      <x:c r="V81" s="21" t="str"/>
      <x:c r="W81" s="21" t="str"/>
      <x:c r="X81" s="21" t="str"/>
      <x:c r="Y81" s="31" t="str"/>
      <x:c r="Z81" s="21" t="str"/>
    </x:row>
    <x:row r="82" ht="44" customHeight="1">
      <x:c r="A82" s="21" t="str"/>
      <x:c r="B82" s="31" t="str"/>
      <x:c r="C82" s="21" t="str"/>
      <x:c r="D82" s="21" t="str"/>
      <x:c r="E82" s="21" t="str"/>
      <x:c r="F82" s="21" t="str"/>
      <x:c r="G82" s="21" t="str"/>
      <x:c r="H82" s="21" t="str"/>
      <x:c r="I82" s="21" t="str"/>
      <x:c r="J82" s="25" t="str"/>
      <x:c r="K82" s="25" t="str"/>
      <x:c r="L82" s="25" t="str"/>
      <x:c r="M82" s="25" t="str">
        <x:f>IF(A82="","",IFERROR(VLOOKUP(J82,'口径与下拉'!$A$9:$B$14,2,FALSE),0)+IFERROR(VLOOKUP(K82,'口径与下拉'!$D$9:$E$14,2,FALSE),0)+L82)</x:f>
      </x:c>
      <x:c r="N82" s="25" t="str">
        <x:f>IF(M82="","",IF(M82&gt;=13,"P0",IF(M82&gt;=10,"P1",IF(M82&gt;=7,"P2","P3"))))</x:f>
      </x:c>
      <x:c r="O82" s="21" t="str"/>
      <x:c r="P82" s="21" t="str"/>
      <x:c r="Q82" s="21" t="str"/>
      <x:c r="R82" s="21" t="str"/>
      <x:c r="S82" s="21" t="str"/>
      <x:c r="T82" s="21" t="str"/>
      <x:c r="U82" s="31" t="str"/>
      <x:c r="V82" s="21" t="str"/>
      <x:c r="W82" s="21" t="str"/>
      <x:c r="X82" s="21" t="str"/>
      <x:c r="Y82" s="31" t="str"/>
      <x:c r="Z82" s="21" t="str"/>
    </x:row>
    <x:row r="83" ht="44" customHeight="1">
      <x:c r="A83" s="21" t="str"/>
      <x:c r="B83" s="31" t="str"/>
      <x:c r="C83" s="21" t="str"/>
      <x:c r="D83" s="21" t="str"/>
      <x:c r="E83" s="21" t="str"/>
      <x:c r="F83" s="21" t="str"/>
      <x:c r="G83" s="21" t="str"/>
      <x:c r="H83" s="21" t="str"/>
      <x:c r="I83" s="21" t="str"/>
      <x:c r="J83" s="25" t="str"/>
      <x:c r="K83" s="25" t="str"/>
      <x:c r="L83" s="25" t="str"/>
      <x:c r="M83" s="25" t="str">
        <x:f>IF(A83="","",IFERROR(VLOOKUP(J83,'口径与下拉'!$A$9:$B$14,2,FALSE),0)+IFERROR(VLOOKUP(K83,'口径与下拉'!$D$9:$E$14,2,FALSE),0)+L83)</x:f>
      </x:c>
      <x:c r="N83" s="25" t="str">
        <x:f>IF(M83="","",IF(M83&gt;=13,"P0",IF(M83&gt;=10,"P1",IF(M83&gt;=7,"P2","P3"))))</x:f>
      </x:c>
      <x:c r="O83" s="21" t="str"/>
      <x:c r="P83" s="21" t="str"/>
      <x:c r="Q83" s="21" t="str"/>
      <x:c r="R83" s="21" t="str"/>
      <x:c r="S83" s="21" t="str"/>
      <x:c r="T83" s="21" t="str"/>
      <x:c r="U83" s="31" t="str"/>
      <x:c r="V83" s="21" t="str"/>
      <x:c r="W83" s="21" t="str"/>
      <x:c r="X83" s="21" t="str"/>
      <x:c r="Y83" s="31" t="str"/>
      <x:c r="Z83" s="21" t="str"/>
    </x:row>
    <x:row r="84" ht="44" customHeight="1">
      <x:c r="A84" s="21" t="str"/>
      <x:c r="B84" s="31" t="str"/>
      <x:c r="C84" s="21" t="str"/>
      <x:c r="D84" s="21" t="str"/>
      <x:c r="E84" s="21" t="str"/>
      <x:c r="F84" s="21" t="str"/>
      <x:c r="G84" s="21" t="str"/>
      <x:c r="H84" s="21" t="str"/>
      <x:c r="I84" s="21" t="str"/>
      <x:c r="J84" s="25" t="str"/>
      <x:c r="K84" s="25" t="str"/>
      <x:c r="L84" s="25" t="str"/>
      <x:c r="M84" s="25" t="str">
        <x:f>IF(A84="","",IFERROR(VLOOKUP(J84,'口径与下拉'!$A$9:$B$14,2,FALSE),0)+IFERROR(VLOOKUP(K84,'口径与下拉'!$D$9:$E$14,2,FALSE),0)+L84)</x:f>
      </x:c>
      <x:c r="N84" s="25" t="str">
        <x:f>IF(M84="","",IF(M84&gt;=13,"P0",IF(M84&gt;=10,"P1",IF(M84&gt;=7,"P2","P3"))))</x:f>
      </x:c>
      <x:c r="O84" s="21" t="str"/>
      <x:c r="P84" s="21" t="str"/>
      <x:c r="Q84" s="21" t="str"/>
      <x:c r="R84" s="21" t="str"/>
      <x:c r="S84" s="21" t="str"/>
      <x:c r="T84" s="21" t="str"/>
      <x:c r="U84" s="31" t="str"/>
      <x:c r="V84" s="21" t="str"/>
      <x:c r="W84" s="21" t="str"/>
      <x:c r="X84" s="21" t="str"/>
      <x:c r="Y84" s="31" t="str"/>
      <x:c r="Z84" s="21" t="str"/>
    </x:row>
    <x:row r="85" ht="44" customHeight="1">
      <x:c r="A85" s="21" t="str"/>
      <x:c r="B85" s="31" t="str"/>
      <x:c r="C85" s="21" t="str"/>
      <x:c r="D85" s="21" t="str"/>
      <x:c r="E85" s="21" t="str"/>
      <x:c r="F85" s="21" t="str"/>
      <x:c r="G85" s="21" t="str"/>
      <x:c r="H85" s="21" t="str"/>
      <x:c r="I85" s="21" t="str"/>
      <x:c r="J85" s="25" t="str"/>
      <x:c r="K85" s="25" t="str"/>
      <x:c r="L85" s="25" t="str"/>
      <x:c r="M85" s="25" t="str">
        <x:f>IF(A85="","",IFERROR(VLOOKUP(J85,'口径与下拉'!$A$9:$B$14,2,FALSE),0)+IFERROR(VLOOKUP(K85,'口径与下拉'!$D$9:$E$14,2,FALSE),0)+L85)</x:f>
      </x:c>
      <x:c r="N85" s="25" t="str">
        <x:f>IF(M85="","",IF(M85&gt;=13,"P0",IF(M85&gt;=10,"P1",IF(M85&gt;=7,"P2","P3"))))</x:f>
      </x:c>
      <x:c r="O85" s="21" t="str"/>
      <x:c r="P85" s="21" t="str"/>
      <x:c r="Q85" s="21" t="str"/>
      <x:c r="R85" s="21" t="str"/>
      <x:c r="S85" s="21" t="str"/>
      <x:c r="T85" s="21" t="str"/>
      <x:c r="U85" s="31" t="str"/>
      <x:c r="V85" s="21" t="str"/>
      <x:c r="W85" s="21" t="str"/>
      <x:c r="X85" s="21" t="str"/>
      <x:c r="Y85" s="31" t="str"/>
      <x:c r="Z85" s="21" t="str"/>
    </x:row>
    <x:row r="86" ht="44" customHeight="1">
      <x:c r="A86" s="21" t="str"/>
      <x:c r="B86" s="31" t="str"/>
      <x:c r="C86" s="21" t="str"/>
      <x:c r="D86" s="21" t="str"/>
      <x:c r="E86" s="21" t="str"/>
      <x:c r="F86" s="21" t="str"/>
      <x:c r="G86" s="21" t="str"/>
      <x:c r="H86" s="21" t="str"/>
      <x:c r="I86" s="21" t="str"/>
      <x:c r="J86" s="25" t="str"/>
      <x:c r="K86" s="25" t="str"/>
      <x:c r="L86" s="25" t="str"/>
      <x:c r="M86" s="25" t="str">
        <x:f>IF(A86="","",IFERROR(VLOOKUP(J86,'口径与下拉'!$A$9:$B$14,2,FALSE),0)+IFERROR(VLOOKUP(K86,'口径与下拉'!$D$9:$E$14,2,FALSE),0)+L86)</x:f>
      </x:c>
      <x:c r="N86" s="25" t="str">
        <x:f>IF(M86="","",IF(M86&gt;=13,"P0",IF(M86&gt;=10,"P1",IF(M86&gt;=7,"P2","P3"))))</x:f>
      </x:c>
      <x:c r="O86" s="21" t="str"/>
      <x:c r="P86" s="21" t="str"/>
      <x:c r="Q86" s="21" t="str"/>
      <x:c r="R86" s="21" t="str"/>
      <x:c r="S86" s="21" t="str"/>
      <x:c r="T86" s="21" t="str"/>
      <x:c r="U86" s="31" t="str"/>
      <x:c r="V86" s="21" t="str"/>
      <x:c r="W86" s="21" t="str"/>
      <x:c r="X86" s="21" t="str"/>
      <x:c r="Y86" s="31" t="str"/>
      <x:c r="Z86" s="21" t="str"/>
    </x:row>
    <x:row r="87" ht="44" customHeight="1">
      <x:c r="A87" s="21" t="str"/>
      <x:c r="B87" s="31" t="str"/>
      <x:c r="C87" s="21" t="str"/>
      <x:c r="D87" s="21" t="str"/>
      <x:c r="E87" s="21" t="str"/>
      <x:c r="F87" s="21" t="str"/>
      <x:c r="G87" s="21" t="str"/>
      <x:c r="H87" s="21" t="str"/>
      <x:c r="I87" s="21" t="str"/>
      <x:c r="J87" s="25" t="str"/>
      <x:c r="K87" s="25" t="str"/>
      <x:c r="L87" s="25" t="str"/>
      <x:c r="M87" s="25" t="str">
        <x:f>IF(A87="","",IFERROR(VLOOKUP(J87,'口径与下拉'!$A$9:$B$14,2,FALSE),0)+IFERROR(VLOOKUP(K87,'口径与下拉'!$D$9:$E$14,2,FALSE),0)+L87)</x:f>
      </x:c>
      <x:c r="N87" s="25" t="str">
        <x:f>IF(M87="","",IF(M87&gt;=13,"P0",IF(M87&gt;=10,"P1",IF(M87&gt;=7,"P2","P3"))))</x:f>
      </x:c>
      <x:c r="O87" s="21" t="str"/>
      <x:c r="P87" s="21" t="str"/>
      <x:c r="Q87" s="21" t="str"/>
      <x:c r="R87" s="21" t="str"/>
      <x:c r="S87" s="21" t="str"/>
      <x:c r="T87" s="21" t="str"/>
      <x:c r="U87" s="31" t="str"/>
      <x:c r="V87" s="21" t="str"/>
      <x:c r="W87" s="21" t="str"/>
      <x:c r="X87" s="21" t="str"/>
      <x:c r="Y87" s="31" t="str"/>
      <x:c r="Z87" s="21" t="str"/>
    </x:row>
    <x:row r="88" ht="44" customHeight="1">
      <x:c r="A88" s="21" t="str"/>
      <x:c r="B88" s="31" t="str"/>
      <x:c r="C88" s="21" t="str"/>
      <x:c r="D88" s="21" t="str"/>
      <x:c r="E88" s="21" t="str"/>
      <x:c r="F88" s="21" t="str"/>
      <x:c r="G88" s="21" t="str"/>
      <x:c r="H88" s="21" t="str"/>
      <x:c r="I88" s="21" t="str"/>
      <x:c r="J88" s="25" t="str"/>
      <x:c r="K88" s="25" t="str"/>
      <x:c r="L88" s="25" t="str"/>
      <x:c r="M88" s="25" t="str">
        <x:f>IF(A88="","",IFERROR(VLOOKUP(J88,'口径与下拉'!$A$9:$B$14,2,FALSE),0)+IFERROR(VLOOKUP(K88,'口径与下拉'!$D$9:$E$14,2,FALSE),0)+L88)</x:f>
      </x:c>
      <x:c r="N88" s="25" t="str">
        <x:f>IF(M88="","",IF(M88&gt;=13,"P0",IF(M88&gt;=10,"P1",IF(M88&gt;=7,"P2","P3"))))</x:f>
      </x:c>
      <x:c r="O88" s="21" t="str"/>
      <x:c r="P88" s="21" t="str"/>
      <x:c r="Q88" s="21" t="str"/>
      <x:c r="R88" s="21" t="str"/>
      <x:c r="S88" s="21" t="str"/>
      <x:c r="T88" s="21" t="str"/>
      <x:c r="U88" s="31" t="str"/>
      <x:c r="V88" s="21" t="str"/>
      <x:c r="W88" s="21" t="str"/>
      <x:c r="X88" s="21" t="str"/>
      <x:c r="Y88" s="31" t="str"/>
      <x:c r="Z88" s="21" t="str"/>
    </x:row>
    <x:row r="89" ht="44" customHeight="1">
      <x:c r="A89" s="21" t="str"/>
      <x:c r="B89" s="31" t="str"/>
      <x:c r="C89" s="21" t="str"/>
      <x:c r="D89" s="21" t="str"/>
      <x:c r="E89" s="21" t="str"/>
      <x:c r="F89" s="21" t="str"/>
      <x:c r="G89" s="21" t="str"/>
      <x:c r="H89" s="21" t="str"/>
      <x:c r="I89" s="21" t="str"/>
      <x:c r="J89" s="25" t="str"/>
      <x:c r="K89" s="25" t="str"/>
      <x:c r="L89" s="25" t="str"/>
      <x:c r="M89" s="25" t="str">
        <x:f>IF(A89="","",IFERROR(VLOOKUP(J89,'口径与下拉'!$A$9:$B$14,2,FALSE),0)+IFERROR(VLOOKUP(K89,'口径与下拉'!$D$9:$E$14,2,FALSE),0)+L89)</x:f>
      </x:c>
      <x:c r="N89" s="25" t="str">
        <x:f>IF(M89="","",IF(M89&gt;=13,"P0",IF(M89&gt;=10,"P1",IF(M89&gt;=7,"P2","P3"))))</x:f>
      </x:c>
      <x:c r="O89" s="21" t="str"/>
      <x:c r="P89" s="21" t="str"/>
      <x:c r="Q89" s="21" t="str"/>
      <x:c r="R89" s="21" t="str"/>
      <x:c r="S89" s="21" t="str"/>
      <x:c r="T89" s="21" t="str"/>
      <x:c r="U89" s="31" t="str"/>
      <x:c r="V89" s="21" t="str"/>
      <x:c r="W89" s="21" t="str"/>
      <x:c r="X89" s="21" t="str"/>
      <x:c r="Y89" s="31" t="str"/>
      <x:c r="Z89" s="21" t="str"/>
    </x:row>
    <x:row r="90" ht="44" customHeight="1">
      <x:c r="A90" s="21" t="str"/>
      <x:c r="B90" s="31" t="str"/>
      <x:c r="C90" s="21" t="str"/>
      <x:c r="D90" s="21" t="str"/>
      <x:c r="E90" s="21" t="str"/>
      <x:c r="F90" s="21" t="str"/>
      <x:c r="G90" s="21" t="str"/>
      <x:c r="H90" s="21" t="str"/>
      <x:c r="I90" s="21" t="str"/>
      <x:c r="J90" s="25" t="str"/>
      <x:c r="K90" s="25" t="str"/>
      <x:c r="L90" s="25" t="str"/>
      <x:c r="M90" s="25" t="str">
        <x:f>IF(A90="","",IFERROR(VLOOKUP(J90,'口径与下拉'!$A$9:$B$14,2,FALSE),0)+IFERROR(VLOOKUP(K90,'口径与下拉'!$D$9:$E$14,2,FALSE),0)+L90)</x:f>
      </x:c>
      <x:c r="N90" s="25" t="str">
        <x:f>IF(M90="","",IF(M90&gt;=13,"P0",IF(M90&gt;=10,"P1",IF(M90&gt;=7,"P2","P3"))))</x:f>
      </x:c>
      <x:c r="O90" s="21" t="str"/>
      <x:c r="P90" s="21" t="str"/>
      <x:c r="Q90" s="21" t="str"/>
      <x:c r="R90" s="21" t="str"/>
      <x:c r="S90" s="21" t="str"/>
      <x:c r="T90" s="21" t="str"/>
      <x:c r="U90" s="31" t="str"/>
      <x:c r="V90" s="21" t="str"/>
      <x:c r="W90" s="21" t="str"/>
      <x:c r="X90" s="21" t="str"/>
      <x:c r="Y90" s="31" t="str"/>
      <x:c r="Z90" s="21" t="str"/>
    </x:row>
    <x:row r="91" ht="44" customHeight="1">
      <x:c r="A91" s="21" t="str"/>
      <x:c r="B91" s="31" t="str"/>
      <x:c r="C91" s="21" t="str"/>
      <x:c r="D91" s="21" t="str"/>
      <x:c r="E91" s="21" t="str"/>
      <x:c r="F91" s="21" t="str"/>
      <x:c r="G91" s="21" t="str"/>
      <x:c r="H91" s="21" t="str"/>
      <x:c r="I91" s="21" t="str"/>
      <x:c r="J91" s="25" t="str"/>
      <x:c r="K91" s="25" t="str"/>
      <x:c r="L91" s="25" t="str"/>
      <x:c r="M91" s="25" t="str">
        <x:f>IF(A91="","",IFERROR(VLOOKUP(J91,'口径与下拉'!$A$9:$B$14,2,FALSE),0)+IFERROR(VLOOKUP(K91,'口径与下拉'!$D$9:$E$14,2,FALSE),0)+L91)</x:f>
      </x:c>
      <x:c r="N91" s="25" t="str">
        <x:f>IF(M91="","",IF(M91&gt;=13,"P0",IF(M91&gt;=10,"P1",IF(M91&gt;=7,"P2","P3"))))</x:f>
      </x:c>
      <x:c r="O91" s="21" t="str"/>
      <x:c r="P91" s="21" t="str"/>
      <x:c r="Q91" s="21" t="str"/>
      <x:c r="R91" s="21" t="str"/>
      <x:c r="S91" s="21" t="str"/>
      <x:c r="T91" s="21" t="str"/>
      <x:c r="U91" s="31" t="str"/>
      <x:c r="V91" s="21" t="str"/>
      <x:c r="W91" s="21" t="str"/>
      <x:c r="X91" s="21" t="str"/>
      <x:c r="Y91" s="31" t="str"/>
      <x:c r="Z91" s="21" t="str"/>
    </x:row>
    <x:row r="92" ht="44" customHeight="1">
      <x:c r="A92" s="21" t="str"/>
      <x:c r="B92" s="31" t="str"/>
      <x:c r="C92" s="21" t="str"/>
      <x:c r="D92" s="21" t="str"/>
      <x:c r="E92" s="21" t="str"/>
      <x:c r="F92" s="21" t="str"/>
      <x:c r="G92" s="21" t="str"/>
      <x:c r="H92" s="21" t="str"/>
      <x:c r="I92" s="21" t="str"/>
      <x:c r="J92" s="25" t="str"/>
      <x:c r="K92" s="25" t="str"/>
      <x:c r="L92" s="25" t="str"/>
      <x:c r="M92" s="25" t="str">
        <x:f>IF(A92="","",IFERROR(VLOOKUP(J92,'口径与下拉'!$A$9:$B$14,2,FALSE),0)+IFERROR(VLOOKUP(K92,'口径与下拉'!$D$9:$E$14,2,FALSE),0)+L92)</x:f>
      </x:c>
      <x:c r="N92" s="25" t="str">
        <x:f>IF(M92="","",IF(M92&gt;=13,"P0",IF(M92&gt;=10,"P1",IF(M92&gt;=7,"P2","P3"))))</x:f>
      </x:c>
      <x:c r="O92" s="21" t="str"/>
      <x:c r="P92" s="21" t="str"/>
      <x:c r="Q92" s="21" t="str"/>
      <x:c r="R92" s="21" t="str"/>
      <x:c r="S92" s="21" t="str"/>
      <x:c r="T92" s="21" t="str"/>
      <x:c r="U92" s="31" t="str"/>
      <x:c r="V92" s="21" t="str"/>
      <x:c r="W92" s="21" t="str"/>
      <x:c r="X92" s="21" t="str"/>
      <x:c r="Y92" s="31" t="str"/>
      <x:c r="Z92" s="21" t="str"/>
    </x:row>
    <x:row r="93" ht="44" customHeight="1">
      <x:c r="A93" s="21" t="str"/>
      <x:c r="B93" s="31" t="str"/>
      <x:c r="C93" s="21" t="str"/>
      <x:c r="D93" s="21" t="str"/>
      <x:c r="E93" s="21" t="str"/>
      <x:c r="F93" s="21" t="str"/>
      <x:c r="G93" s="21" t="str"/>
      <x:c r="H93" s="21" t="str"/>
      <x:c r="I93" s="21" t="str"/>
      <x:c r="J93" s="25" t="str"/>
      <x:c r="K93" s="25" t="str"/>
      <x:c r="L93" s="25" t="str"/>
      <x:c r="M93" s="25" t="str">
        <x:f>IF(A93="","",IFERROR(VLOOKUP(J93,'口径与下拉'!$A$9:$B$14,2,FALSE),0)+IFERROR(VLOOKUP(K93,'口径与下拉'!$D$9:$E$14,2,FALSE),0)+L93)</x:f>
      </x:c>
      <x:c r="N93" s="25" t="str">
        <x:f>IF(M93="","",IF(M93&gt;=13,"P0",IF(M93&gt;=10,"P1",IF(M93&gt;=7,"P2","P3"))))</x:f>
      </x:c>
      <x:c r="O93" s="21" t="str"/>
      <x:c r="P93" s="21" t="str"/>
      <x:c r="Q93" s="21" t="str"/>
      <x:c r="R93" s="21" t="str"/>
      <x:c r="S93" s="21" t="str"/>
      <x:c r="T93" s="21" t="str"/>
      <x:c r="U93" s="31" t="str"/>
      <x:c r="V93" s="21" t="str"/>
      <x:c r="W93" s="21" t="str"/>
      <x:c r="X93" s="21" t="str"/>
      <x:c r="Y93" s="31" t="str"/>
      <x:c r="Z93" s="21" t="str"/>
    </x:row>
    <x:row r="94" ht="44" customHeight="1">
      <x:c r="A94" s="21" t="str"/>
      <x:c r="B94" s="31" t="str"/>
      <x:c r="C94" s="21" t="str"/>
      <x:c r="D94" s="21" t="str"/>
      <x:c r="E94" s="21" t="str"/>
      <x:c r="F94" s="21" t="str"/>
      <x:c r="G94" s="21" t="str"/>
      <x:c r="H94" s="21" t="str"/>
      <x:c r="I94" s="21" t="str"/>
      <x:c r="J94" s="25" t="str"/>
      <x:c r="K94" s="25" t="str"/>
      <x:c r="L94" s="25" t="str"/>
      <x:c r="M94" s="25" t="str">
        <x:f>IF(A94="","",IFERROR(VLOOKUP(J94,'口径与下拉'!$A$9:$B$14,2,FALSE),0)+IFERROR(VLOOKUP(K94,'口径与下拉'!$D$9:$E$14,2,FALSE),0)+L94)</x:f>
      </x:c>
      <x:c r="N94" s="25" t="str">
        <x:f>IF(M94="","",IF(M94&gt;=13,"P0",IF(M94&gt;=10,"P1",IF(M94&gt;=7,"P2","P3"))))</x:f>
      </x:c>
      <x:c r="O94" s="21" t="str"/>
      <x:c r="P94" s="21" t="str"/>
      <x:c r="Q94" s="21" t="str"/>
      <x:c r="R94" s="21" t="str"/>
      <x:c r="S94" s="21" t="str"/>
      <x:c r="T94" s="21" t="str"/>
      <x:c r="U94" s="31" t="str"/>
      <x:c r="V94" s="21" t="str"/>
      <x:c r="W94" s="21" t="str"/>
      <x:c r="X94" s="21" t="str"/>
      <x:c r="Y94" s="31" t="str"/>
      <x:c r="Z94" s="21" t="str"/>
    </x:row>
    <x:row r="95" ht="44" customHeight="1">
      <x:c r="A95" s="21" t="str"/>
      <x:c r="B95" s="31" t="str"/>
      <x:c r="C95" s="21" t="str"/>
      <x:c r="D95" s="21" t="str"/>
      <x:c r="E95" s="21" t="str"/>
      <x:c r="F95" s="21" t="str"/>
      <x:c r="G95" s="21" t="str"/>
      <x:c r="H95" s="21" t="str"/>
      <x:c r="I95" s="21" t="str"/>
      <x:c r="J95" s="25" t="str"/>
      <x:c r="K95" s="25" t="str"/>
      <x:c r="L95" s="25" t="str"/>
      <x:c r="M95" s="25" t="str">
        <x:f>IF(A95="","",IFERROR(VLOOKUP(J95,'口径与下拉'!$A$9:$B$14,2,FALSE),0)+IFERROR(VLOOKUP(K95,'口径与下拉'!$D$9:$E$14,2,FALSE),0)+L95)</x:f>
      </x:c>
      <x:c r="N95" s="25" t="str">
        <x:f>IF(M95="","",IF(M95&gt;=13,"P0",IF(M95&gt;=10,"P1",IF(M95&gt;=7,"P2","P3"))))</x:f>
      </x:c>
      <x:c r="O95" s="21" t="str"/>
      <x:c r="P95" s="21" t="str"/>
      <x:c r="Q95" s="21" t="str"/>
      <x:c r="R95" s="21" t="str"/>
      <x:c r="S95" s="21" t="str"/>
      <x:c r="T95" s="21" t="str"/>
      <x:c r="U95" s="31" t="str"/>
      <x:c r="V95" s="21" t="str"/>
      <x:c r="W95" s="21" t="str"/>
      <x:c r="X95" s="21" t="str"/>
      <x:c r="Y95" s="31" t="str"/>
      <x:c r="Z95" s="21" t="str"/>
    </x:row>
    <x:row r="96" ht="44" customHeight="1">
      <x:c r="A96" s="21" t="str"/>
      <x:c r="B96" s="31" t="str"/>
      <x:c r="C96" s="21" t="str"/>
      <x:c r="D96" s="21" t="str"/>
      <x:c r="E96" s="21" t="str"/>
      <x:c r="F96" s="21" t="str"/>
      <x:c r="G96" s="21" t="str"/>
      <x:c r="H96" s="21" t="str"/>
      <x:c r="I96" s="21" t="str"/>
      <x:c r="J96" s="25" t="str"/>
      <x:c r="K96" s="25" t="str"/>
      <x:c r="L96" s="25" t="str"/>
      <x:c r="M96" s="25" t="str">
        <x:f>IF(A96="","",IFERROR(VLOOKUP(J96,'口径与下拉'!$A$9:$B$14,2,FALSE),0)+IFERROR(VLOOKUP(K96,'口径与下拉'!$D$9:$E$14,2,FALSE),0)+L96)</x:f>
      </x:c>
      <x:c r="N96" s="25" t="str">
        <x:f>IF(M96="","",IF(M96&gt;=13,"P0",IF(M96&gt;=10,"P1",IF(M96&gt;=7,"P2","P3"))))</x:f>
      </x:c>
      <x:c r="O96" s="21" t="str"/>
      <x:c r="P96" s="21" t="str"/>
      <x:c r="Q96" s="21" t="str"/>
      <x:c r="R96" s="21" t="str"/>
      <x:c r="S96" s="21" t="str"/>
      <x:c r="T96" s="21" t="str"/>
      <x:c r="U96" s="31" t="str"/>
      <x:c r="V96" s="21" t="str"/>
      <x:c r="W96" s="21" t="str"/>
      <x:c r="X96" s="21" t="str"/>
      <x:c r="Y96" s="31" t="str"/>
      <x:c r="Z96" s="21" t="str"/>
    </x:row>
    <x:row r="97" ht="44" customHeight="1">
      <x:c r="A97" s="21" t="str"/>
      <x:c r="B97" s="31" t="str"/>
      <x:c r="C97" s="21" t="str"/>
      <x:c r="D97" s="21" t="str"/>
      <x:c r="E97" s="21" t="str"/>
      <x:c r="F97" s="21" t="str"/>
      <x:c r="G97" s="21" t="str"/>
      <x:c r="H97" s="21" t="str"/>
      <x:c r="I97" s="21" t="str"/>
      <x:c r="J97" s="25" t="str"/>
      <x:c r="K97" s="25" t="str"/>
      <x:c r="L97" s="25" t="str"/>
      <x:c r="M97" s="25" t="str">
        <x:f>IF(A97="","",IFERROR(VLOOKUP(J97,'口径与下拉'!$A$9:$B$14,2,FALSE),0)+IFERROR(VLOOKUP(K97,'口径与下拉'!$D$9:$E$14,2,FALSE),0)+L97)</x:f>
      </x:c>
      <x:c r="N97" s="25" t="str">
        <x:f>IF(M97="","",IF(M97&gt;=13,"P0",IF(M97&gt;=10,"P1",IF(M97&gt;=7,"P2","P3"))))</x:f>
      </x:c>
      <x:c r="O97" s="21" t="str"/>
      <x:c r="P97" s="21" t="str"/>
      <x:c r="Q97" s="21" t="str"/>
      <x:c r="R97" s="21" t="str"/>
      <x:c r="S97" s="21" t="str"/>
      <x:c r="T97" s="21" t="str"/>
      <x:c r="U97" s="31" t="str"/>
      <x:c r="V97" s="21" t="str"/>
      <x:c r="W97" s="21" t="str"/>
      <x:c r="X97" s="21" t="str"/>
      <x:c r="Y97" s="31" t="str"/>
      <x:c r="Z97" s="21" t="str"/>
    </x:row>
    <x:row r="98" ht="44" customHeight="1">
      <x:c r="A98" s="21" t="str"/>
      <x:c r="B98" s="31" t="str"/>
      <x:c r="C98" s="21" t="str"/>
      <x:c r="D98" s="21" t="str"/>
      <x:c r="E98" s="21" t="str"/>
      <x:c r="F98" s="21" t="str"/>
      <x:c r="G98" s="21" t="str"/>
      <x:c r="H98" s="21" t="str"/>
      <x:c r="I98" s="21" t="str"/>
      <x:c r="J98" s="25" t="str"/>
      <x:c r="K98" s="25" t="str"/>
      <x:c r="L98" s="25" t="str"/>
      <x:c r="M98" s="25" t="str">
        <x:f>IF(A98="","",IFERROR(VLOOKUP(J98,'口径与下拉'!$A$9:$B$14,2,FALSE),0)+IFERROR(VLOOKUP(K98,'口径与下拉'!$D$9:$E$14,2,FALSE),0)+L98)</x:f>
      </x:c>
      <x:c r="N98" s="25" t="str">
        <x:f>IF(M98="","",IF(M98&gt;=13,"P0",IF(M98&gt;=10,"P1",IF(M98&gt;=7,"P2","P3"))))</x:f>
      </x:c>
      <x:c r="O98" s="21" t="str"/>
      <x:c r="P98" s="21" t="str"/>
      <x:c r="Q98" s="21" t="str"/>
      <x:c r="R98" s="21" t="str"/>
      <x:c r="S98" s="21" t="str"/>
      <x:c r="T98" s="21" t="str"/>
      <x:c r="U98" s="31" t="str"/>
      <x:c r="V98" s="21" t="str"/>
      <x:c r="W98" s="21" t="str"/>
      <x:c r="X98" s="21" t="str"/>
      <x:c r="Y98" s="31" t="str"/>
      <x:c r="Z98" s="21" t="str"/>
    </x:row>
    <x:row r="99" ht="44" customHeight="1">
      <x:c r="A99" s="21" t="str"/>
      <x:c r="B99" s="31" t="str"/>
      <x:c r="C99" s="21" t="str"/>
      <x:c r="D99" s="21" t="str"/>
      <x:c r="E99" s="21" t="str"/>
      <x:c r="F99" s="21" t="str"/>
      <x:c r="G99" s="21" t="str"/>
      <x:c r="H99" s="21" t="str"/>
      <x:c r="I99" s="21" t="str"/>
      <x:c r="J99" s="25" t="str"/>
      <x:c r="K99" s="25" t="str"/>
      <x:c r="L99" s="25" t="str"/>
      <x:c r="M99" s="25" t="str">
        <x:f>IF(A99="","",IFERROR(VLOOKUP(J99,'口径与下拉'!$A$9:$B$14,2,FALSE),0)+IFERROR(VLOOKUP(K99,'口径与下拉'!$D$9:$E$14,2,FALSE),0)+L99)</x:f>
      </x:c>
      <x:c r="N99" s="25" t="str">
        <x:f>IF(M99="","",IF(M99&gt;=13,"P0",IF(M99&gt;=10,"P1",IF(M99&gt;=7,"P2","P3"))))</x:f>
      </x:c>
      <x:c r="O99" s="21" t="str"/>
      <x:c r="P99" s="21" t="str"/>
      <x:c r="Q99" s="21" t="str"/>
      <x:c r="R99" s="21" t="str"/>
      <x:c r="S99" s="21" t="str"/>
      <x:c r="T99" s="21" t="str"/>
      <x:c r="U99" s="31" t="str"/>
      <x:c r="V99" s="21" t="str"/>
      <x:c r="W99" s="21" t="str"/>
      <x:c r="X99" s="21" t="str"/>
      <x:c r="Y99" s="31" t="str"/>
      <x:c r="Z99" s="21" t="str"/>
    </x:row>
    <x:row r="100" ht="44" customHeight="1">
      <x:c r="A100" s="21" t="str"/>
      <x:c r="B100" s="31" t="str"/>
      <x:c r="C100" s="21" t="str"/>
      <x:c r="D100" s="21" t="str"/>
      <x:c r="E100" s="21" t="str"/>
      <x:c r="F100" s="21" t="str"/>
      <x:c r="G100" s="21" t="str"/>
      <x:c r="H100" s="21" t="str"/>
      <x:c r="I100" s="21" t="str"/>
      <x:c r="J100" s="25" t="str"/>
      <x:c r="K100" s="25" t="str"/>
      <x:c r="L100" s="25" t="str"/>
      <x:c r="M100" s="25" t="str">
        <x:f>IF(A100="","",IFERROR(VLOOKUP(J100,'口径与下拉'!$A$9:$B$14,2,FALSE),0)+IFERROR(VLOOKUP(K100,'口径与下拉'!$D$9:$E$14,2,FALSE),0)+L100)</x:f>
      </x:c>
      <x:c r="N100" s="25" t="str">
        <x:f>IF(M100="","",IF(M100&gt;=13,"P0",IF(M100&gt;=10,"P1",IF(M100&gt;=7,"P2","P3"))))</x:f>
      </x:c>
      <x:c r="O100" s="21" t="str"/>
      <x:c r="P100" s="21" t="str"/>
      <x:c r="Q100" s="21" t="str"/>
      <x:c r="R100" s="21" t="str"/>
      <x:c r="S100" s="21" t="str"/>
      <x:c r="T100" s="21" t="str"/>
      <x:c r="U100" s="31" t="str"/>
      <x:c r="V100" s="21" t="str"/>
      <x:c r="W100" s="21" t="str"/>
      <x:c r="X100" s="21" t="str"/>
      <x:c r="Y100" s="31" t="str"/>
      <x:c r="Z100" s="21" t="str"/>
    </x:row>
    <x:row r="101" ht="44" customHeight="1">
      <x:c r="A101" s="21" t="str"/>
      <x:c r="B101" s="31" t="str"/>
      <x:c r="C101" s="21" t="str"/>
      <x:c r="D101" s="21" t="str"/>
      <x:c r="E101" s="21" t="str"/>
      <x:c r="F101" s="21" t="str"/>
      <x:c r="G101" s="21" t="str"/>
      <x:c r="H101" s="21" t="str"/>
      <x:c r="I101" s="21" t="str"/>
      <x:c r="J101" s="25" t="str"/>
      <x:c r="K101" s="25" t="str"/>
      <x:c r="L101" s="25" t="str"/>
      <x:c r="M101" s="25" t="str">
        <x:f>IF(A101="","",IFERROR(VLOOKUP(J101,'口径与下拉'!$A$9:$B$14,2,FALSE),0)+IFERROR(VLOOKUP(K101,'口径与下拉'!$D$9:$E$14,2,FALSE),0)+L101)</x:f>
      </x:c>
      <x:c r="N101" s="25" t="str">
        <x:f>IF(M101="","",IF(M101&gt;=13,"P0",IF(M101&gt;=10,"P1",IF(M101&gt;=7,"P2","P3"))))</x:f>
      </x:c>
      <x:c r="O101" s="21" t="str"/>
      <x:c r="P101" s="21" t="str"/>
      <x:c r="Q101" s="21" t="str"/>
      <x:c r="R101" s="21" t="str"/>
      <x:c r="S101" s="21" t="str"/>
      <x:c r="T101" s="21" t="str"/>
      <x:c r="U101" s="31" t="str"/>
      <x:c r="V101" s="21" t="str"/>
      <x:c r="W101" s="21" t="str"/>
      <x:c r="X101" s="21" t="str"/>
      <x:c r="Y101" s="31" t="str"/>
      <x:c r="Z101" s="21" t="str"/>
    </x:row>
    <x:row r="102" ht="44" customHeight="1">
      <x:c r="A102" s="21" t="str"/>
      <x:c r="B102" s="31" t="str"/>
      <x:c r="C102" s="21" t="str"/>
      <x:c r="D102" s="21" t="str"/>
      <x:c r="E102" s="21" t="str"/>
      <x:c r="F102" s="21" t="str"/>
      <x:c r="G102" s="21" t="str"/>
      <x:c r="H102" s="21" t="str"/>
      <x:c r="I102" s="21" t="str"/>
      <x:c r="J102" s="25" t="str"/>
      <x:c r="K102" s="25" t="str"/>
      <x:c r="L102" s="25" t="str"/>
      <x:c r="M102" s="25" t="str">
        <x:f>IF(A102="","",IFERROR(VLOOKUP(J102,'口径与下拉'!$A$9:$B$14,2,FALSE),0)+IFERROR(VLOOKUP(K102,'口径与下拉'!$D$9:$E$14,2,FALSE),0)+L102)</x:f>
      </x:c>
      <x:c r="N102" s="25" t="str">
        <x:f>IF(M102="","",IF(M102&gt;=13,"P0",IF(M102&gt;=10,"P1",IF(M102&gt;=7,"P2","P3"))))</x:f>
      </x:c>
      <x:c r="O102" s="21" t="str"/>
      <x:c r="P102" s="21" t="str"/>
      <x:c r="Q102" s="21" t="str"/>
      <x:c r="R102" s="21" t="str"/>
      <x:c r="S102" s="21" t="str"/>
      <x:c r="T102" s="21" t="str"/>
      <x:c r="U102" s="31" t="str"/>
      <x:c r="V102" s="21" t="str"/>
      <x:c r="W102" s="21" t="str"/>
      <x:c r="X102" s="21" t="str"/>
      <x:c r="Y102" s="31" t="str"/>
      <x:c r="Z102" s="21" t="str"/>
    </x:row>
    <x:row r="103" ht="44" customHeight="1">
      <x:c r="A103" s="21" t="str"/>
      <x:c r="B103" s="31" t="str"/>
      <x:c r="C103" s="21" t="str"/>
      <x:c r="D103" s="21" t="str"/>
      <x:c r="E103" s="21" t="str"/>
      <x:c r="F103" s="21" t="str"/>
      <x:c r="G103" s="21" t="str"/>
      <x:c r="H103" s="21" t="str"/>
      <x:c r="I103" s="21" t="str"/>
      <x:c r="J103" s="25" t="str"/>
      <x:c r="K103" s="25" t="str"/>
      <x:c r="L103" s="25" t="str"/>
      <x:c r="M103" s="25" t="str">
        <x:f>IF(A103="","",IFERROR(VLOOKUP(J103,'口径与下拉'!$A$9:$B$14,2,FALSE),0)+IFERROR(VLOOKUP(K103,'口径与下拉'!$D$9:$E$14,2,FALSE),0)+L103)</x:f>
      </x:c>
      <x:c r="N103" s="25" t="str">
        <x:f>IF(M103="","",IF(M103&gt;=13,"P0",IF(M103&gt;=10,"P1",IF(M103&gt;=7,"P2","P3"))))</x:f>
      </x:c>
      <x:c r="O103" s="21" t="str"/>
      <x:c r="P103" s="21" t="str"/>
      <x:c r="Q103" s="21" t="str"/>
      <x:c r="R103" s="21" t="str"/>
      <x:c r="S103" s="21" t="str"/>
      <x:c r="T103" s="21" t="str"/>
      <x:c r="U103" s="31" t="str"/>
      <x:c r="V103" s="21" t="str"/>
      <x:c r="W103" s="21" t="str"/>
      <x:c r="X103" s="21" t="str"/>
      <x:c r="Y103" s="31" t="str"/>
      <x:c r="Z103" s="21" t="str"/>
    </x:row>
    <x:row r="104" ht="44" customHeight="1">
      <x:c r="A104" s="21" t="str"/>
      <x:c r="B104" s="31" t="str"/>
      <x:c r="C104" s="21" t="str"/>
      <x:c r="D104" s="21" t="str"/>
      <x:c r="E104" s="21" t="str"/>
      <x:c r="F104" s="21" t="str"/>
      <x:c r="G104" s="21" t="str"/>
      <x:c r="H104" s="21" t="str"/>
      <x:c r="I104" s="21" t="str"/>
      <x:c r="J104" s="25" t="str"/>
      <x:c r="K104" s="25" t="str"/>
      <x:c r="L104" s="25" t="str"/>
      <x:c r="M104" s="25" t="str">
        <x:f>IF(A104="","",IFERROR(VLOOKUP(J104,'口径与下拉'!$A$9:$B$14,2,FALSE),0)+IFERROR(VLOOKUP(K104,'口径与下拉'!$D$9:$E$14,2,FALSE),0)+L104)</x:f>
      </x:c>
      <x:c r="N104" s="25" t="str">
        <x:f>IF(M104="","",IF(M104&gt;=13,"P0",IF(M104&gt;=10,"P1",IF(M104&gt;=7,"P2","P3"))))</x:f>
      </x:c>
      <x:c r="O104" s="21" t="str"/>
      <x:c r="P104" s="21" t="str"/>
      <x:c r="Q104" s="21" t="str"/>
      <x:c r="R104" s="21" t="str"/>
      <x:c r="S104" s="21" t="str"/>
      <x:c r="T104" s="21" t="str"/>
      <x:c r="U104" s="31" t="str"/>
      <x:c r="V104" s="21" t="str"/>
      <x:c r="W104" s="21" t="str"/>
      <x:c r="X104" s="21" t="str"/>
      <x:c r="Y104" s="31" t="str"/>
      <x:c r="Z104" s="21" t="str"/>
    </x:row>
  </x:sheetData>
  <x:mergeCells>
    <x:mergeCell ref="A1:Z2"/>
    <x:mergeCell ref="A3:Z3"/>
  </x:mergeCells>
  <x:conditionalFormatting sqref="N5:N104">
    <x:cfRule type="containsText" dxfId="9" priority="1" operator="containsText" text="P0"/>
    <x:cfRule type="containsText" dxfId="10" priority="2" operator="containsText" text="P1"/>
    <x:cfRule type="containsText" dxfId="11" priority="3" operator="containsText" text="P2"/>
    <x:cfRule type="containsText" dxfId="12" priority="4" operator="containsText" text="P3"/>
  </x:conditionalFormatting>
  <x:conditionalFormatting sqref="S5:S104">
    <x:cfRule type="containsText" dxfId="13" priority="5" operator="containsText" text="已关闭"/>
    <x:cfRule type="containsText" dxfId="14" priority="6" operator="containsText" text="修复中"/>
    <x:cfRule type="containsText" dxfId="15" priority="7" operator="containsText" text="待复测"/>
    <x:cfRule type="containsText" dxfId="16" priority="8" operator="containsText" text="暂缓"/>
    <x:cfRule type="containsText" dxfId="17" priority="9" operator="containsText" text="不修复"/>
  </x:conditionalFormatting>
  <x:dataValidations count="5">
    <x:dataValidation type="list" sqref="J5:J104">
      <x:formula1>'口径与下拉'!$A$9:$A$14</x:formula1>
    </x:dataValidation>
    <x:dataValidation type="list" sqref="K5:K104">
      <x:formula1>'口径与下拉'!$D$9:$D$14</x:formula1>
    </x:dataValidation>
    <x:dataValidation type="whole" operator="between" sqref="L5:L104">
      <x:formula1>1</x:formula1>
      <x:formula2>5</x:formula2>
    </x:dataValidation>
    <x:dataValidation type="list" sqref="S5:S104">
      <x:formula1>'口径与下拉'!$T$9:$T$15</x:formula1>
    </x:dataValidation>
    <x:dataValidation type="list" sqref="X5:X104">
      <x:formula1>'口径与下拉'!$L$9:$L$12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7e1ea8017f41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12" hidden="0" customWidth="1"/>
    <x:col min="4" max="4" width="30" hidden="0" customWidth="1"/>
    <x:col min="5" max="5" width="22" hidden="0" customWidth="1"/>
    <x:col min="6" max="6" width="38" hidden="0" customWidth="1"/>
    <x:col min="7" max="7" width="38" hidden="0" customWidth="1"/>
    <x:col min="8" max="8" width="24" hidden="0" customWidth="1"/>
    <x:col min="9" max="9" width="36" hidden="0" customWidth="1"/>
    <x:col min="10" max="10" width="16" hidden="0" customWidth="1"/>
    <x:col min="11" max="11" width="34" hidden="0" customWidth="1"/>
    <x:col min="12" max="12" width="22" hidden="0" customWidth="1"/>
    <x:col min="13" max="13" width="12" hidden="0" customWidth="1"/>
    <x:col min="14" max="14" width="14" hidden="0" customWidth="1"/>
    <x:col min="15" max="15" width="28" hidden="0" customWidth="1"/>
  </x:cols>
  <x:sheetData>
    <x:row r="1" ht="34" customHeight="1">
      <x:c r="A1" s="4" t="str">
        <x:v>32 屏场景与状态覆盖矩阵</x:v>
      </x:c>
      <x:c r="B1" s="4" t="str">
        <x:v>32 屏场景与状态覆盖矩阵</x:v>
      </x:c>
      <x:c r="C1" s="4" t="str">
        <x:v>32 屏场景与状态覆盖矩阵</x:v>
      </x:c>
      <x:c r="D1" s="4" t="str">
        <x:v>32 屏场景与状态覆盖矩阵</x:v>
      </x:c>
      <x:c r="E1" s="4" t="str">
        <x:v>32 屏场景与状态覆盖矩阵</x:v>
      </x:c>
      <x:c r="F1" s="4" t="str">
        <x:v>32 屏场景与状态覆盖矩阵</x:v>
      </x:c>
      <x:c r="G1" s="4" t="str">
        <x:v>32 屏场景与状态覆盖矩阵</x:v>
      </x:c>
      <x:c r="H1" s="4" t="str">
        <x:v>32 屏场景与状态覆盖矩阵</x:v>
      </x:c>
      <x:c r="I1" s="4" t="str">
        <x:v>32 屏场景与状态覆盖矩阵</x:v>
      </x:c>
      <x:c r="J1" s="4" t="str">
        <x:v>32 屏场景与状态覆盖矩阵</x:v>
      </x:c>
      <x:c r="K1" s="4" t="str">
        <x:v>32 屏场景与状态覆盖矩阵</x:v>
      </x:c>
      <x:c r="L1" s="4" t="str">
        <x:v>32 屏场景与状态覆盖矩阵</x:v>
      </x:c>
      <x:c r="M1" s="4" t="str">
        <x:v>32 屏场景与状态覆盖矩阵</x:v>
      </x:c>
      <x:c r="N1" s="4" t="str">
        <x:v>32 屏场景与状态覆盖矩阵</x:v>
      </x:c>
      <x:c r="O1" s="4" t="str">
        <x:v>32 屏场景与状态覆盖矩阵</x:v>
      </x:c>
    </x:row>
    <x:row r="2" ht="34" customHeight="1">
      <x:c r="A2" s="4" t="str">
        <x:v>32 屏场景与状态覆盖矩阵</x:v>
      </x:c>
      <x:c r="B2" s="4" t="str">
        <x:v>32 屏场景与状态覆盖矩阵</x:v>
      </x:c>
      <x:c r="C2" s="4" t="str">
        <x:v>32 屏场景与状态覆盖矩阵</x:v>
      </x:c>
      <x:c r="D2" s="4" t="str">
        <x:v>32 屏场景与状态覆盖矩阵</x:v>
      </x:c>
      <x:c r="E2" s="4" t="str">
        <x:v>32 屏场景与状态覆盖矩阵</x:v>
      </x:c>
      <x:c r="F2" s="4" t="str">
        <x:v>32 屏场景与状态覆盖矩阵</x:v>
      </x:c>
      <x:c r="G2" s="4" t="str">
        <x:v>32 屏场景与状态覆盖矩阵</x:v>
      </x:c>
      <x:c r="H2" s="4" t="str">
        <x:v>32 屏场景与状态覆盖矩阵</x:v>
      </x:c>
      <x:c r="I2" s="4" t="str">
        <x:v>32 屏场景与状态覆盖矩阵</x:v>
      </x:c>
      <x:c r="J2" s="4" t="str">
        <x:v>32 屏场景与状态覆盖矩阵</x:v>
      </x:c>
      <x:c r="K2" s="4" t="str">
        <x:v>32 屏场景与状态覆盖矩阵</x:v>
      </x:c>
      <x:c r="L2" s="4" t="str">
        <x:v>32 屏场景与状态覆盖矩阵</x:v>
      </x:c>
      <x:c r="M2" s="4" t="str">
        <x:v>32 屏场景与状态覆盖矩阵</x:v>
      </x:c>
      <x:c r="N2" s="4" t="str">
        <x:v>32 屏场景与状态覆盖矩阵</x:v>
      </x:c>
      <x:c r="O2" s="4" t="str">
        <x:v>32 屏场景与状态覆盖矩阵</x:v>
      </x:c>
    </x:row>
    <x:row r="3" ht="34" customHeight="1">
      <x:c r="A3" s="8" t="str">
        <x:v>每一行都要在真实运行页面中完成：正常路径 + 至少一个异常态 + 五档视口抽查。基线文件位于 design/山海·栖霞_UI运行基线_390x844@3/。</x:v>
      </x:c>
      <x:c r="B3" s="8" t="str">
        <x:v>每一行都要在真实运行页面中完成：正常路径 + 至少一个异常态 + 五档视口抽查。基线文件位于 design/山海·栖霞_UI运行基线_390x844@3/。</x:v>
      </x:c>
      <x:c r="C3" s="8" t="str">
        <x:v>每一行都要在真实运行页面中完成：正常路径 + 至少一个异常态 + 五档视口抽查。基线文件位于 design/山海·栖霞_UI运行基线_390x844@3/。</x:v>
      </x:c>
      <x:c r="D3" s="8" t="str">
        <x:v>每一行都要在真实运行页面中完成：正常路径 + 至少一个异常态 + 五档视口抽查。基线文件位于 design/山海·栖霞_UI运行基线_390x844@3/。</x:v>
      </x:c>
      <x:c r="E3" s="8" t="str">
        <x:v>每一行都要在真实运行页面中完成：正常路径 + 至少一个异常态 + 五档视口抽查。基线文件位于 design/山海·栖霞_UI运行基线_390x844@3/。</x:v>
      </x:c>
      <x:c r="F3" s="8" t="str">
        <x:v>每一行都要在真实运行页面中完成：正常路径 + 至少一个异常态 + 五档视口抽查。基线文件位于 design/山海·栖霞_UI运行基线_390x844@3/。</x:v>
      </x:c>
      <x:c r="G3" s="8" t="str">
        <x:v>每一行都要在真实运行页面中完成：正常路径 + 至少一个异常态 + 五档视口抽查。基线文件位于 design/山海·栖霞_UI运行基线_390x844@3/。</x:v>
      </x:c>
      <x:c r="H3" s="8" t="str">
        <x:v>每一行都要在真实运行页面中完成：正常路径 + 至少一个异常态 + 五档视口抽查。基线文件位于 design/山海·栖霞_UI运行基线_390x844@3/。</x:v>
      </x:c>
      <x:c r="I3" s="8" t="str">
        <x:v>每一行都要在真实运行页面中完成：正常路径 + 至少一个异常态 + 五档视口抽查。基线文件位于 design/山海·栖霞_UI运行基线_390x844@3/。</x:v>
      </x:c>
      <x:c r="J3" s="8" t="str">
        <x:v>每一行都要在真实运行页面中完成：正常路径 + 至少一个异常态 + 五档视口抽查。基线文件位于 design/山海·栖霞_UI运行基线_390x844@3/。</x:v>
      </x:c>
      <x:c r="K3" s="8" t="str">
        <x:v>每一行都要在真实运行页面中完成：正常路径 + 至少一个异常态 + 五档视口抽查。基线文件位于 design/山海·栖霞_UI运行基线_390x844@3/。</x:v>
      </x:c>
      <x:c r="L3" s="8" t="str">
        <x:v>每一行都要在真实运行页面中完成：正常路径 + 至少一个异常态 + 五档视口抽查。基线文件位于 design/山海·栖霞_UI运行基线_390x844@3/。</x:v>
      </x:c>
      <x:c r="M3" s="8" t="str">
        <x:v>每一行都要在真实运行页面中完成：正常路径 + 至少一个异常态 + 五档视口抽查。基线文件位于 design/山海·栖霞_UI运行基线_390x844@3/。</x:v>
      </x:c>
      <x:c r="N3" s="8" t="str">
        <x:v>每一行都要在真实运行页面中完成：正常路径 + 至少一个异常态 + 五档视口抽查。基线文件位于 design/山海·栖霞_UI运行基线_390x844@3/。</x:v>
      </x:c>
      <x:c r="O3" s="8" t="str">
        <x:v>每一行都要在真实运行页面中完成：正常路径 + 至少一个异常态 + 五档视口抽查。基线文件位于 design/山海·栖霞_UI运行基线_390x844@3/。</x:v>
      </x:c>
    </x:row>
    <x:row r="4" ht="32" customHeight="1">
      <x:c r="A4" s="14" t="str">
        <x:v>屏幕ID</x:v>
      </x:c>
      <x:c r="B4" s="14" t="str">
        <x:v>页面/弹窗</x:v>
      </x:c>
      <x:c r="C4" s="14" t="str">
        <x:v>类型</x:v>
      </x:c>
      <x:c r="D4" s="14" t="str">
        <x:v>玩家目标</x:v>
      </x:c>
      <x:c r="E4" s="14" t="str">
        <x:v>进入方式</x:v>
      </x:c>
      <x:c r="F4" s="14" t="str">
        <x:v>必须测试的交互</x:v>
      </x:c>
      <x:c r="G4" s="14" t="str">
        <x:v>关键状态/异常</x:v>
      </x:c>
      <x:c r="H4" s="14" t="str">
        <x:v>退出与返回</x:v>
      </x:c>
      <x:c r="I4" s="14" t="str">
        <x:v>基线文件</x:v>
      </x:c>
      <x:c r="J4" s="14" t="str">
        <x:v>测试路由</x:v>
      </x:c>
      <x:c r="K4" s="14" t="str">
        <x:v>必测视口</x:v>
      </x:c>
      <x:c r="L4" s="14" t="str">
        <x:v>证据</x:v>
      </x:c>
      <x:c r="M4" s="14" t="str">
        <x:v>状态</x:v>
      </x:c>
      <x:c r="N4" s="14" t="str">
        <x:v>关联问题ID</x:v>
      </x:c>
      <x:c r="O4" s="14" t="str">
        <x:v>备注</x:v>
      </x:c>
    </x:row>
    <x:row r="5" ht="58" customHeight="1">
      <x:c r="A5" s="22" t="str">
        <x:v>01</x:v>
      </x:c>
      <x:c r="B5" s="22" t="str">
        <x:v>启动页</x:v>
      </x:c>
      <x:c r="C5" s="20" t="str">
        <x:v>页面</x:v>
      </x:c>
      <x:c r="D5" s="20" t="str">
        <x:v>开始/继续旅程并理解品牌</x:v>
      </x:c>
      <x:c r="E5" s="20" t="str">
        <x:v>冷启动/刷新</x:v>
      </x:c>
      <x:c r="F5" s="20" t="str">
        <x:v>推开山门、继续旅程、档案保护</x:v>
      </x:c>
      <x:c r="G5" s="20" t="str">
        <x:v>无档/有档/损坏档/加载慢/音频锁定</x:v>
      </x:c>
      <x:c r="H5" s="20" t="str">
        <x:v>进入当前目标或安全恢复</x:v>
      </x:c>
      <x:c r="I5" s="20" t="str">
        <x:v>01_启动页.png</x:v>
      </x:c>
      <x:c r="J5" s="20" t="str">
        <x:v>?ui-screen=01</x:v>
      </x:c>
      <x:c r="K5" s="20" t="str">
        <x:v>320×568;360×800;390×844;430×932;844×390</x:v>
      </x:c>
      <x:c r="L5" s="20" t="str"/>
      <x:c r="M5" s="20" t="str">
        <x:v>未检查</x:v>
      </x:c>
      <x:c r="N5" s="20" t="str"/>
      <x:c r="O5" s="20" t="str"/>
    </x:row>
    <x:row r="6" ht="58" customHeight="1">
      <x:c r="A6" s="23" t="str">
        <x:v>02</x:v>
      </x:c>
      <x:c r="B6" s="23" t="str">
        <x:v>庭院主页</x:v>
      </x:c>
      <x:c r="C6" s="21" t="str">
        <x:v>页面</x:v>
      </x:c>
      <x:c r="D6" s="21" t="str">
        <x:v>看清当前目标、神兽、设施与资源</x:v>
      </x:c>
      <x:c r="E6" s="21" t="str">
        <x:v>首局/底栏庭院</x:v>
      </x:c>
      <x:c r="F6" s="21" t="str">
        <x:v>目标栏、建筑直达、神兽点击、快捷工具</x:v>
      </x:c>
      <x:c r="G6" s="21" t="str">
        <x:v>空庭院/锁设施/待领取/回流/遮挡</x:v>
      </x:c>
      <x:c r="H6" s="21" t="str">
        <x:v>底栏切页/系统返回</x:v>
      </x:c>
      <x:c r="I6" s="21" t="str">
        <x:v>02_庭院主页.png</x:v>
      </x:c>
      <x:c r="J6" s="21" t="str">
        <x:v>?ui-screen=02</x:v>
      </x:c>
      <x:c r="K6" s="21" t="str">
        <x:v>320×568;360×800;390×844;430×932;844×390</x:v>
      </x:c>
      <x:c r="L6" s="21" t="str"/>
      <x:c r="M6" s="21" t="str">
        <x:v>未检查</x:v>
      </x:c>
      <x:c r="N6" s="21" t="str"/>
      <x:c r="O6" s="21" t="str"/>
    </x:row>
    <x:row r="7" ht="58" customHeight="1">
      <x:c r="A7" s="23" t="str">
        <x:v>03</x:v>
      </x:c>
      <x:c r="B7" s="23" t="str">
        <x:v>灵阵合并页</x:v>
      </x:c>
      <x:c r="C7" s="21" t="str">
        <x:v>页面</x:v>
      </x:c>
      <x:c r="D7" s="21" t="str">
        <x:v>生成、拖拽合并、完成需求</x:v>
      </x:c>
      <x:c r="E7" s="21" t="str">
        <x:v>目标/底栏/来源前往</x:v>
      </x:c>
      <x:c r="F7" s="21" t="str">
        <x:v>49格棋盘、生成器、整理、回收、药匣、配方</x:v>
      </x:c>
      <x:c r="G7" s="21" t="str">
        <x:v>满盘/灵力不足/锁格/封顶/待领取/拖拽中断</x:v>
      </x:c>
      <x:c r="H7" s="21" t="str">
        <x:v>返回来源上下文</x:v>
      </x:c>
      <x:c r="I7" s="21" t="str">
        <x:v>03_灵阵合并页.png</x:v>
      </x:c>
      <x:c r="J7" s="21" t="str">
        <x:v>?ui-screen=03</x:v>
      </x:c>
      <x:c r="K7" s="21" t="str">
        <x:v>320×568;360×800;390×844;430×932;844×390</x:v>
      </x:c>
      <x:c r="L7" s="21" t="str"/>
      <x:c r="M7" s="21" t="str">
        <x:v>未检查</x:v>
      </x:c>
      <x:c r="N7" s="21" t="str"/>
      <x:c r="O7" s="21" t="str"/>
    </x:row>
    <x:row r="8" ht="58" customHeight="1">
      <x:c r="A8" s="23" t="str">
        <x:v>04</x:v>
      </x:c>
      <x:c r="B8" s="23" t="str">
        <x:v>当前目标弹窗</x:v>
      </x:c>
      <x:c r="C8" s="21" t="str">
        <x:v>弹窗</x:v>
      </x:c>
      <x:c r="D8" s="21" t="str">
        <x:v>理解唯一下一步并前往</x:v>
      </x:c>
      <x:c r="E8" s="21" t="str">
        <x:v>点击目标栏</x:v>
      </x:c>
      <x:c r="F8" s="21" t="str">
        <x:v>查看缺口、来源、前往</x:v>
      </x:c>
      <x:c r="G8" s="21" t="str">
        <x:v>目标完成/锁定/无可行动步骤/跨页返回</x:v>
      </x:c>
      <x:c r="H8" s="21" t="str">
        <x:v>关闭并恢复焦点</x:v>
      </x:c>
      <x:c r="I8" s="21" t="str">
        <x:v>04_当前目标弹窗.png</x:v>
      </x:c>
      <x:c r="J8" s="21" t="str">
        <x:v>?ui-screen=04</x:v>
      </x:c>
      <x:c r="K8" s="21" t="str">
        <x:v>320×568;360×800;390×844;430×932;844×390</x:v>
      </x:c>
      <x:c r="L8" s="21" t="str"/>
      <x:c r="M8" s="21" t="str">
        <x:v>未检查</x:v>
      </x:c>
      <x:c r="N8" s="21" t="str"/>
      <x:c r="O8" s="21" t="str"/>
    </x:row>
    <x:row r="9" ht="58" customHeight="1">
      <x:c r="A9" s="23" t="str">
        <x:v>05</x:v>
      </x:c>
      <x:c r="B9" s="23" t="str">
        <x:v>宗门舆图页</x:v>
      </x:c>
      <x:c r="C9" s="21" t="str">
        <x:v>页面</x:v>
      </x:c>
      <x:c r="D9" s="21" t="str">
        <x:v>查看14区状态并进入修缮/设施</x:v>
      </x:c>
      <x:c r="E9" s="21" t="str">
        <x:v>底栏/目标前往</x:v>
      </x:c>
      <x:c r="F9" s="21" t="str">
        <x:v>区域热区、锁定说明、进度、建筑直达</x:v>
      </x:c>
      <x:c r="G9" s="21" t="str">
        <x:v>未解锁/已完成/无区域卷/横屏热区</x:v>
      </x:c>
      <x:c r="H9" s="21" t="str">
        <x:v>返回庭院/目标</x:v>
      </x:c>
      <x:c r="I9" s="21" t="str">
        <x:v>05_宗门舆图页.png</x:v>
      </x:c>
      <x:c r="J9" s="21" t="str">
        <x:v>?ui-screen=05</x:v>
      </x:c>
      <x:c r="K9" s="21" t="str">
        <x:v>320×568;360×800;390×844;430×932;844×390</x:v>
      </x:c>
      <x:c r="L9" s="21" t="str"/>
      <x:c r="M9" s="21" t="str">
        <x:v>未检查</x:v>
      </x:c>
      <x:c r="N9" s="21" t="str"/>
      <x:c r="O9" s="21" t="str"/>
    </x:row>
    <x:row r="10" ht="58" customHeight="1">
      <x:c r="A10" s="23" t="str">
        <x:v>06</x:v>
      </x:c>
      <x:c r="B10" s="23" t="str">
        <x:v>山门修缮页</x:v>
      </x:c>
      <x:c r="C10" s="21" t="str">
        <x:v>页面</x:v>
      </x:c>
      <x:c r="D10" s="21" t="str">
        <x:v>提交材料完成首次/阶段修缮</x:v>
      </x:c>
      <x:c r="E10" s="21" t="str">
        <x:v>舆图/当前目标</x:v>
      </x:c>
      <x:c r="F10" s="21" t="str">
        <x:v>查看成本来源、修缮、阶段反馈</x:v>
      </x:c>
      <x:c r="G10" s="21" t="str">
        <x:v>材料不足/连点/保存失败/阶段完成</x:v>
      </x:c>
      <x:c r="H10" s="21" t="str">
        <x:v>回舆图或新目标</x:v>
      </x:c>
      <x:c r="I10" s="21" t="str">
        <x:v>06_山门修缮页.png</x:v>
      </x:c>
      <x:c r="J10" s="21" t="str">
        <x:v>?ui-screen=06</x:v>
      </x:c>
      <x:c r="K10" s="21" t="str">
        <x:v>320×568;360×800;390×844;430×932;844×390</x:v>
      </x:c>
      <x:c r="L10" s="21" t="str"/>
      <x:c r="M10" s="21" t="str">
        <x:v>未检查</x:v>
      </x:c>
      <x:c r="N10" s="21" t="str"/>
      <x:c r="O10" s="21" t="str"/>
    </x:row>
    <x:row r="11" ht="58" customHeight="1">
      <x:c r="A11" s="23" t="str">
        <x:v>07</x:v>
      </x:c>
      <x:c r="B11" s="23" t="str">
        <x:v>穷奇照料页</x:v>
      </x:c>
      <x:c r="C11" s="21" t="str">
        <x:v>页面</x:v>
      </x:c>
      <x:c r="D11" s="21" t="str">
        <x:v>选择对症照料推进信任/疗愈</x:v>
      </x:c>
      <x:c r="E11" s="21" t="str">
        <x:v>庭院点击穷奇/目标</x:v>
      </x:c>
      <x:c r="F11" s="21" t="str">
        <x:v>喂食、清洁、梳毛、陪玩、进度</x:v>
      </x:c>
      <x:c r="G11" s="21" t="str">
        <x:v>灵力不足/中断退款/切兽/蜕变临界</x:v>
      </x:c>
      <x:c r="H11" s="21" t="str">
        <x:v>回庭院/进入小游戏</x:v>
      </x:c>
      <x:c r="I11" s="21" t="str">
        <x:v>07_穷奇照料页.png</x:v>
      </x:c>
      <x:c r="J11" s="21" t="str">
        <x:v>?ui-screen=07</x:v>
      </x:c>
      <x:c r="K11" s="21" t="str">
        <x:v>320×568;360×800;390×844;430×932;844×390</x:v>
      </x:c>
      <x:c r="L11" s="21" t="str"/>
      <x:c r="M11" s="21" t="str">
        <x:v>未检查</x:v>
      </x:c>
      <x:c r="N11" s="21" t="str"/>
      <x:c r="O11" s="21" t="str"/>
    </x:row>
    <x:row r="12" ht="58" customHeight="1">
      <x:c r="A12" s="23" t="str">
        <x:v>08</x:v>
      </x:c>
      <x:c r="B12" s="23" t="str">
        <x:v>梳洗台交换消除页</x:v>
      </x:c>
      <x:c r="C12" s="21" t="str">
        <x:v>小游戏</x:v>
      </x:c>
      <x:c r="D12" s="21" t="str">
        <x:v>完成交换消除并获得照料反馈</x:v>
      </x:c>
      <x:c r="E12" s="21" t="str">
        <x:v>梳洗/照料入口</x:v>
      </x:c>
      <x:c r="F12" s="21" t="str">
        <x:v>相邻交换、连消、目标、结算</x:v>
      </x:c>
      <x:c r="G12" s="21" t="str">
        <x:v>非法交换/无解/切后台/加载失败</x:v>
      </x:c>
      <x:c r="H12" s="21" t="str">
        <x:v>结算或安全退出</x:v>
      </x:c>
      <x:c r="I12" s="21" t="str">
        <x:v>08_梳洗台交换消除页.png</x:v>
      </x:c>
      <x:c r="J12" s="21" t="str">
        <x:v>?ui-screen=08</x:v>
      </x:c>
      <x:c r="K12" s="21" t="str">
        <x:v>320×568;360×800;390×844;430×932;844×390</x:v>
      </x:c>
      <x:c r="L12" s="21" t="str"/>
      <x:c r="M12" s="21" t="str">
        <x:v>未检查</x:v>
      </x:c>
      <x:c r="N12" s="21" t="str"/>
      <x:c r="O12" s="21" t="str"/>
    </x:row>
    <x:row r="13" ht="58" customHeight="1">
      <x:c r="A13" s="23" t="str">
        <x:v>09</x:v>
      </x:c>
      <x:c r="B13" s="23" t="str">
        <x:v>玩具塔模式选择页</x:v>
      </x:c>
      <x:c r="C13" s="21" t="str">
        <x:v>页面</x:v>
      </x:c>
      <x:c r="D13" s="21" t="str">
        <x:v>理解并选择玩法模式</x:v>
      </x:c>
      <x:c r="E13" s="21" t="str">
        <x:v>嬉游亭/陪玩</x:v>
      </x:c>
      <x:c r="F13" s="21" t="str">
        <x:v>模式说明、奖励、开始、返回</x:v>
      </x:c>
      <x:c r="G13" s="21" t="str">
        <x:v>未解锁/资源不足/加载中</x:v>
      </x:c>
      <x:c r="H13" s="21" t="str">
        <x:v>进入关卡或返回</x:v>
      </x:c>
      <x:c r="I13" s="21" t="str">
        <x:v>09_玩具塔模式选择页.png</x:v>
      </x:c>
      <x:c r="J13" s="21" t="str">
        <x:v>?ui-screen=09</x:v>
      </x:c>
      <x:c r="K13" s="21" t="str">
        <x:v>320×568;360×800;390×844;430×932;844×390</x:v>
      </x:c>
      <x:c r="L13" s="21" t="str"/>
      <x:c r="M13" s="21" t="str">
        <x:v>未检查</x:v>
      </x:c>
      <x:c r="N13" s="21" t="str"/>
      <x:c r="O13" s="21" t="str"/>
    </x:row>
    <x:row r="14" ht="58" customHeight="1">
      <x:c r="A14" s="23" t="str">
        <x:v>10</x:v>
      </x:c>
      <x:c r="B14" s="23" t="str">
        <x:v>玩具塔关卡页</x:v>
      </x:c>
      <x:c r="C14" s="21" t="str">
        <x:v>小游戏</x:v>
      </x:c>
      <x:c r="D14" s="21" t="str">
        <x:v>五格槽三同消除并获得素材</x:v>
      </x:c>
      <x:c r="E14" s="21" t="str">
        <x:v>模式选择</x:v>
      </x:c>
      <x:c r="F14" s="21" t="str">
        <x:v>选牌入槽、三消、暂停、结算</x:v>
      </x:c>
      <x:c r="G14" s="21" t="str">
        <x:v>槽满/无解/连点/切后台/弱网</x:v>
      </x:c>
      <x:c r="H14" s="21" t="str">
        <x:v>结算或安全退出</x:v>
      </x:c>
      <x:c r="I14" s="21" t="str">
        <x:v>10_玩具塔关卡页.png</x:v>
      </x:c>
      <x:c r="J14" s="21" t="str">
        <x:v>?ui-screen=10</x:v>
      </x:c>
      <x:c r="K14" s="21" t="str">
        <x:v>320×568;360×800;390×844;430×932;844×390</x:v>
      </x:c>
      <x:c r="L14" s="21" t="str"/>
      <x:c r="M14" s="21" t="str">
        <x:v>未检查</x:v>
      </x:c>
      <x:c r="N14" s="21" t="str"/>
      <x:c r="O14" s="21" t="str"/>
    </x:row>
    <x:row r="15" ht="58" customHeight="1">
      <x:c r="A15" s="23" t="str">
        <x:v>11</x:v>
      </x:c>
      <x:c r="B15" s="23" t="str">
        <x:v>山海册总览页</x:v>
      </x:c>
      <x:c r="C15" s="21" t="str">
        <x:v>页面</x:v>
      </x:c>
      <x:c r="D15" s="21" t="str">
        <x:v>浏览12兽收集与成长</x:v>
      </x:c>
      <x:c r="E15" s="21" t="str">
        <x:v>底栏/旅程</x:v>
      </x:c>
      <x:c r="F15" s="21" t="str">
        <x:v>筛选、条目、未知态、进度</x:v>
      </x:c>
      <x:c r="G15" s="21" t="str">
        <x:v>空态/未解锁/全部完成/长列表</x:v>
      </x:c>
      <x:c r="H15" s="21" t="str">
        <x:v>进入详情/返回</x:v>
      </x:c>
      <x:c r="I15" s="21" t="str">
        <x:v>11_山海册总览页.png</x:v>
      </x:c>
      <x:c r="J15" s="21" t="str">
        <x:v>?ui-screen=11</x:v>
      </x:c>
      <x:c r="K15" s="21" t="str">
        <x:v>320×568;360×800;390×844;430×932;844×390</x:v>
      </x:c>
      <x:c r="L15" s="21" t="str"/>
      <x:c r="M15" s="21" t="str">
        <x:v>未检查</x:v>
      </x:c>
      <x:c r="N15" s="21" t="str"/>
      <x:c r="O15" s="21" t="str"/>
    </x:row>
    <x:row r="16" ht="58" customHeight="1">
      <x:c r="A16" s="23" t="str">
        <x:v>12</x:v>
      </x:c>
      <x:c r="B16" s="23" t="str">
        <x:v>穷奇图鉴详情页</x:v>
      </x:c>
      <x:c r="C16" s="21" t="str">
        <x:v>页面</x:v>
      </x:c>
      <x:c r="D16" s="21" t="str">
        <x:v>理解本相、症状、形态与职责</x:v>
      </x:c>
      <x:c r="E16" s="21" t="str">
        <x:v>山海册条目</x:v>
      </x:c>
      <x:c r="F16" s="21" t="str">
        <x:v>形态切换、档案、回看、岗位信息</x:v>
      </x:c>
      <x:c r="G16" s="21" t="str">
        <x:v>未蜕变/已蜕变/文本过长/缺资源</x:v>
      </x:c>
      <x:c r="H16" s="21" t="str">
        <x:v>回到原列表位置</x:v>
      </x:c>
      <x:c r="I16" s="21" t="str">
        <x:v>12_穷奇图鉴详情页.png</x:v>
      </x:c>
      <x:c r="J16" s="21" t="str">
        <x:v>?ui-screen=12</x:v>
      </x:c>
      <x:c r="K16" s="21" t="str">
        <x:v>320×568;360×800;390×844;430×932;844×390</x:v>
      </x:c>
      <x:c r="L16" s="21" t="str"/>
      <x:c r="M16" s="21" t="str">
        <x:v>未检查</x:v>
      </x:c>
      <x:c r="N16" s="21" t="str"/>
      <x:c r="O16" s="21" t="str"/>
    </x:row>
    <x:row r="17" ht="58" customHeight="1">
      <x:c r="A17" s="23" t="str">
        <x:v>13</x:v>
      </x:c>
      <x:c r="B17" s="23" t="str">
        <x:v>卷一剧情选择页</x:v>
      </x:c>
      <x:c r="C17" s="21" t="str">
        <x:v>页面</x:v>
      </x:c>
      <x:c r="D17" s="21" t="str">
        <x:v>阅读并做选择</x:v>
      </x:c>
      <x:c r="E17" s="21" t="str">
        <x:v>故事目标/旅程回看</x:v>
      </x:c>
      <x:c r="F17" s="21" t="str">
        <x:v>翻页、选择、确认、跳过/退出</x:v>
      </x:c>
      <x:c r="G17" s="21" t="str">
        <x:v>重复进入/中断/长文本/已读</x:v>
      </x:c>
      <x:c r="H17" s="21" t="str">
        <x:v>衔接修缮或目标</x:v>
      </x:c>
      <x:c r="I17" s="21" t="str">
        <x:v>13_卷一剧情选择页.png</x:v>
      </x:c>
      <x:c r="J17" s="21" t="str">
        <x:v>?ui-screen=13</x:v>
      </x:c>
      <x:c r="K17" s="21" t="str">
        <x:v>320×568;360×800;390×844;430×932;844×390</x:v>
      </x:c>
      <x:c r="L17" s="21" t="str"/>
      <x:c r="M17" s="21" t="str">
        <x:v>未检查</x:v>
      </x:c>
      <x:c r="N17" s="21" t="str"/>
      <x:c r="O17" s="21" t="str"/>
    </x:row>
    <x:row r="18" ht="58" customHeight="1">
      <x:c r="A18" s="23" t="str">
        <x:v>14</x:v>
      </x:c>
      <x:c r="B18" s="23" t="str">
        <x:v>归灯蜕变与上岗页</x:v>
      </x:c>
      <x:c r="C18" s="21" t="str">
        <x:v>里程碑</x:v>
      </x:c>
      <x:c r="D18" s="21" t="str">
        <x:v>见证蜕变并完成首次岗位</x:v>
      </x:c>
      <x:c r="E18" s="21" t="str">
        <x:v>满足卷章条件</x:v>
      </x:c>
      <x:c r="F18" s="21" t="str">
        <x:v>演出、前后对比、上岗、下一步</x:v>
      </x:c>
      <x:c r="G18" s="21" t="str">
        <x:v>中断/重播/重复触发/视频失败</x:v>
      </x:c>
      <x:c r="H18" s="21" t="str">
        <x:v>回庭院/新卷衔接</x:v>
      </x:c>
      <x:c r="I18" s="21" t="str">
        <x:v>14_归灯蜕变与上岗页.png</x:v>
      </x:c>
      <x:c r="J18" s="21" t="str">
        <x:v>?ui-screen=14</x:v>
      </x:c>
      <x:c r="K18" s="21" t="str">
        <x:v>320×568;360×800;390×844;430×932;844×390</x:v>
      </x:c>
      <x:c r="L18" s="21" t="str"/>
      <x:c r="M18" s="21" t="str">
        <x:v>未检查</x:v>
      </x:c>
      <x:c r="N18" s="21" t="str"/>
      <x:c r="O18" s="21" t="str"/>
    </x:row>
    <x:row r="19" ht="58" customHeight="1">
      <x:c r="A19" s="23" t="str">
        <x:v>15</x:v>
      </x:c>
      <x:c r="B19" s="23" t="str">
        <x:v>药匣页</x:v>
      </x:c>
      <x:c r="C19" s="21" t="str">
        <x:v>页面</x:v>
      </x:c>
      <x:c r="D19" s="21" t="str">
        <x:v>管理棋盘外物品</x:v>
      </x:c>
      <x:c r="E19" s="21" t="str">
        <x:v>灵阵快捷工具</x:v>
      </x:c>
      <x:c r="F19" s="21" t="str">
        <x:v>容量、排序、移入移出、详情</x:v>
      </x:c>
      <x:c r="G19" s="21" t="str">
        <x:v>满格/锁格/批量/迁移溢出</x:v>
      </x:c>
      <x:c r="H19" s="21" t="str">
        <x:v>回灵阵并保持上下文</x:v>
      </x:c>
      <x:c r="I19" s="21" t="str">
        <x:v>15_药匣页.png</x:v>
      </x:c>
      <x:c r="J19" s="21" t="str">
        <x:v>?ui-screen=15</x:v>
      </x:c>
      <x:c r="K19" s="21" t="str">
        <x:v>320×568;360×800;390×844;430×932;844×390</x:v>
      </x:c>
      <x:c r="L19" s="21" t="str"/>
      <x:c r="M19" s="21" t="str">
        <x:v>未检查</x:v>
      </x:c>
      <x:c r="N19" s="21" t="str"/>
      <x:c r="O19" s="21" t="str"/>
    </x:row>
    <x:row r="20" ht="58" customHeight="1">
      <x:c r="A20" s="23" t="str">
        <x:v>16</x:v>
      </x:c>
      <x:c r="B20" s="23" t="str">
        <x:v>配方调配页</x:v>
      </x:c>
      <x:c r="C20" s="21" t="str">
        <x:v>页面</x:v>
      </x:c>
      <x:c r="D20" s="21" t="str">
        <x:v>查看并制作所需物品</x:v>
      </x:c>
      <x:c r="E20" s="21" t="str">
        <x:v>灵阵快捷工具/来源</x:v>
      </x:c>
      <x:c r="F20" s="21" t="str">
        <x:v>配方筛选、材料来源、数量、制作</x:v>
      </x:c>
      <x:c r="G20" s="21" t="str">
        <x:v>未解锁/缺料/满盘/连点/失败</x:v>
      </x:c>
      <x:c r="H20" s="21" t="str">
        <x:v>回来源任务</x:v>
      </x:c>
      <x:c r="I20" s="21" t="str">
        <x:v>16_配方调配页.png</x:v>
      </x:c>
      <x:c r="J20" s="21" t="str">
        <x:v>?ui-screen=16</x:v>
      </x:c>
      <x:c r="K20" s="21" t="str">
        <x:v>320×568;360×800;390×844;430×932;844×390</x:v>
      </x:c>
      <x:c r="L20" s="21" t="str"/>
      <x:c r="M20" s="21" t="str">
        <x:v>未检查</x:v>
      </x:c>
      <x:c r="N20" s="21" t="str"/>
      <x:c r="O20" s="21" t="str"/>
    </x:row>
    <x:row r="21" ht="58" customHeight="1">
      <x:c r="A21" s="23" t="str">
        <x:v>17</x:v>
      </x:c>
      <x:c r="B21" s="23" t="str">
        <x:v>今日卷册页</x:v>
      </x:c>
      <x:c r="C21" s="21" t="str">
        <x:v>页面</x:v>
      </x:c>
      <x:c r="D21" s="21" t="str">
        <x:v>查看并领取每日三目标</x:v>
      </x:c>
      <x:c r="E21" s="21" t="str">
        <x:v>日常入口/提醒</x:v>
      </x:c>
      <x:c r="F21" s="21" t="str">
        <x:v>目标进度、领取、七日约定</x:v>
      </x:c>
      <x:c r="G21" s="21" t="str">
        <x:v>重复领取/跨日/第8日/存档失败</x:v>
      </x:c>
      <x:c r="H21" s="21" t="str">
        <x:v>回主循环</x:v>
      </x:c>
      <x:c r="I21" s="21" t="str">
        <x:v>17_今日卷册页.png</x:v>
      </x:c>
      <x:c r="J21" s="21" t="str">
        <x:v>?ui-screen=17</x:v>
      </x:c>
      <x:c r="K21" s="21" t="str">
        <x:v>320×568;360×800;390×844;430×932;844×390</x:v>
      </x:c>
      <x:c r="L21" s="21" t="str"/>
      <x:c r="M21" s="21" t="str">
        <x:v>未检查</x:v>
      </x:c>
      <x:c r="N21" s="21" t="str"/>
      <x:c r="O21" s="21" t="str"/>
    </x:row>
    <x:row r="22" ht="58" customHeight="1">
      <x:c r="A22" s="23" t="str">
        <x:v>18</x:v>
      </x:c>
      <x:c r="B22" s="23" t="str">
        <x:v>山海旅程页</x:v>
      </x:c>
      <x:c r="C22" s="21" t="str">
        <x:v>页面</x:v>
      </x:c>
      <x:c r="D22" s="21" t="str">
        <x:v>查看12卷、结局与整体进度</x:v>
      </x:c>
      <x:c r="E22" s="21" t="str">
        <x:v>底栏/目标</x:v>
      </x:c>
      <x:c r="F22" s="21" t="str">
        <x:v>卷章列表、当前节点、回看、结局</x:v>
      </x:c>
      <x:c r="G22" s="21" t="str">
        <x:v>锁定/完成/无区域卷/长列表</x:v>
      </x:c>
      <x:c r="H22" s="21" t="str">
        <x:v>进入目标或返回</x:v>
      </x:c>
      <x:c r="I22" s="21" t="str">
        <x:v>18_山海旅程页.png</x:v>
      </x:c>
      <x:c r="J22" s="21" t="str">
        <x:v>?ui-screen=18</x:v>
      </x:c>
      <x:c r="K22" s="21" t="str">
        <x:v>320×568;360×800;390×844;430×932;844×390</x:v>
      </x:c>
      <x:c r="L22" s="21" t="str"/>
      <x:c r="M22" s="21" t="str">
        <x:v>未检查</x:v>
      </x:c>
      <x:c r="N22" s="21" t="str"/>
      <x:c r="O22" s="21" t="str"/>
    </x:row>
    <x:row r="23" ht="58" customHeight="1">
      <x:c r="A23" s="23" t="str">
        <x:v>19</x:v>
      </x:c>
      <x:c r="B23" s="23" t="str">
        <x:v>庭院换景页</x:v>
      </x:c>
      <x:c r="C23" s="21" t="str">
        <x:v>页面</x:v>
      </x:c>
      <x:c r="D23" s="21" t="str">
        <x:v>预览并应用庭院外观</x:v>
      </x:c>
      <x:c r="E23" s="21" t="str">
        <x:v>庭院装扮入口</x:v>
      </x:c>
      <x:c r="F23" s="21" t="str">
        <x:v>预览、解锁条件、应用、取消</x:v>
      </x:c>
      <x:c r="G23" s="21" t="str">
        <x:v>锁定/资源不足/重载/横屏</x:v>
      </x:c>
      <x:c r="H23" s="21" t="str">
        <x:v>回庭院并显示选择</x:v>
      </x:c>
      <x:c r="I23" s="21" t="str">
        <x:v>19_庭院换景页.png</x:v>
      </x:c>
      <x:c r="J23" s="21" t="str">
        <x:v>?ui-screen=19</x:v>
      </x:c>
      <x:c r="K23" s="21" t="str">
        <x:v>320×568;360×800;390×844;430×932;844×390</x:v>
      </x:c>
      <x:c r="L23" s="21" t="str"/>
      <x:c r="M23" s="21" t="str">
        <x:v>未检查</x:v>
      </x:c>
      <x:c r="N23" s="21" t="str"/>
      <x:c r="O23" s="21" t="str"/>
    </x:row>
    <x:row r="24" ht="58" customHeight="1">
      <x:c r="A24" s="23" t="str">
        <x:v>20</x:v>
      </x:c>
      <x:c r="B24" s="23" t="str">
        <x:v>设置与旅程记录页</x:v>
      </x:c>
      <x:c r="C24" s="21" t="str">
        <x:v>页面</x:v>
      </x:c>
      <x:c r="D24" s="21" t="str">
        <x:v>调整音画隐私并管理存档</x:v>
      </x:c>
      <x:c r="E24" s="21" t="str">
        <x:v>设置入口</x:v>
      </x:c>
      <x:c r="F24" s="21" t="str">
        <x:v>音量、减少动态、统计、导入导出、记录</x:v>
      </x:c>
      <x:c r="G24" s="21" t="str">
        <x:v>无存储/未来档/导入失败/键盘</x:v>
      </x:c>
      <x:c r="H24" s="21" t="str">
        <x:v>保存设置并返回</x:v>
      </x:c>
      <x:c r="I24" s="21" t="str">
        <x:v>20_设置与旅程记录页.png</x:v>
      </x:c>
      <x:c r="J24" s="21" t="str">
        <x:v>?ui-screen=20</x:v>
      </x:c>
      <x:c r="K24" s="21" t="str">
        <x:v>320×568;360×800;390×844;430×932;844×390</x:v>
      </x:c>
      <x:c r="L24" s="21" t="str"/>
      <x:c r="M24" s="21" t="str">
        <x:v>未检查</x:v>
      </x:c>
      <x:c r="N24" s="21" t="str"/>
      <x:c r="O24" s="21" t="str"/>
    </x:row>
    <x:row r="25" ht="58" customHeight="1">
      <x:c r="A25" s="23" t="str">
        <x:v>21</x:v>
      </x:c>
      <x:c r="B25" s="23" t="str">
        <x:v>陪玩结算弹窗</x:v>
      </x:c>
      <x:c r="C25" s="21" t="str">
        <x:v>弹窗</x:v>
      </x:c>
      <x:c r="D25" s="21" t="str">
        <x:v>核对小游戏奖励与成长</x:v>
      </x:c>
      <x:c r="E25" s="21" t="str">
        <x:v>有效陪玩完成</x:v>
      </x:c>
      <x:c r="F25" s="21" t="str">
        <x:v>奖励明细、继续、返回</x:v>
      </x:c>
      <x:c r="G25" s="21" t="str">
        <x:v>重复回调/满盘/无效局/断网恢复</x:v>
      </x:c>
      <x:c r="H25" s="21" t="str">
        <x:v>回照料/主循环</x:v>
      </x:c>
      <x:c r="I25" s="21" t="str">
        <x:v>21_陪玩结算弹窗.png</x:v>
      </x:c>
      <x:c r="J25" s="21" t="str">
        <x:v>?ui-screen=21</x:v>
      </x:c>
      <x:c r="K25" s="21" t="str">
        <x:v>320×568;360×800;390×844;430×932;844×390</x:v>
      </x:c>
      <x:c r="L25" s="21" t="str"/>
      <x:c r="M25" s="21" t="str">
        <x:v>未检查</x:v>
      </x:c>
      <x:c r="N25" s="21" t="str"/>
      <x:c r="O25" s="21" t="str"/>
    </x:row>
    <x:row r="26" ht="58" customHeight="1">
      <x:c r="A26" s="23" t="str">
        <x:v>22</x:v>
      </x:c>
      <x:c r="B26" s="23" t="str">
        <x:v>守灯归来弹窗</x:v>
      </x:c>
      <x:c r="C26" s="21" t="str">
        <x:v>弹窗</x:v>
      </x:c>
      <x:c r="D26" s="21" t="str">
        <x:v>理解离线正向产出</x:v>
      </x:c>
      <x:c r="E26" s="21" t="str">
        <x:v>离线后进入</x:v>
      </x:c>
      <x:c r="F26" s="21" t="str">
        <x:v>产出明细、待领取、继续</x:v>
      </x:c>
      <x:c r="G26" s="21" t="str">
        <x:v>无产出/超长离线/时间回拨/满盘</x:v>
      </x:c>
      <x:c r="H26" s="21" t="str">
        <x:v>回当前目标</x:v>
      </x:c>
      <x:c r="I26" s="21" t="str">
        <x:v>22_守灯归来弹窗.png</x:v>
      </x:c>
      <x:c r="J26" s="21" t="str">
        <x:v>?ui-screen=22</x:v>
      </x:c>
      <x:c r="K26" s="21" t="str">
        <x:v>320×568;360×800;390×844;430×932;844×390</x:v>
      </x:c>
      <x:c r="L26" s="21" t="str"/>
      <x:c r="M26" s="21" t="str">
        <x:v>未检查</x:v>
      </x:c>
      <x:c r="N26" s="21" t="str"/>
      <x:c r="O26" s="21" t="str"/>
    </x:row>
    <x:row r="27" ht="58" customHeight="1">
      <x:c r="A27" s="23" t="str">
        <x:v>23</x:v>
      </x:c>
      <x:c r="B27" s="23" t="str">
        <x:v>访客事件弹窗</x:v>
      </x:c>
      <x:c r="C27" s="21" t="str">
        <x:v>弹窗</x:v>
      </x:c>
      <x:c r="D27" s="21" t="str">
        <x:v>处理访客需求/事件</x:v>
      </x:c>
      <x:c r="E27" s="21" t="str">
        <x:v>首段故事后/目标</x:v>
      </x:c>
      <x:c r="F27" s="21" t="str">
        <x:v>需求、来源、选择、提交</x:v>
      </x:c>
      <x:c r="G27" s="21" t="str">
        <x:v>未解锁来源/取消/重复提交</x:v>
      </x:c>
      <x:c r="H27" s="21" t="str">
        <x:v>刷新目标或前往来源</x:v>
      </x:c>
      <x:c r="I27" s="21" t="str">
        <x:v>23_访客事件_迟到的药囊弹窗.png</x:v>
      </x:c>
      <x:c r="J27" s="21" t="str">
        <x:v>?ui-screen=23</x:v>
      </x:c>
      <x:c r="K27" s="21" t="str">
        <x:v>320×568;360×800;390×844;430×932;844×390</x:v>
      </x:c>
      <x:c r="L27" s="21" t="str"/>
      <x:c r="M27" s="21" t="str">
        <x:v>未检查</x:v>
      </x:c>
      <x:c r="N27" s="21" t="str"/>
      <x:c r="O27" s="21" t="str"/>
    </x:row>
    <x:row r="28" ht="58" customHeight="1">
      <x:c r="A28" s="23" t="str">
        <x:v>24</x:v>
      </x:c>
      <x:c r="B28" s="23" t="str">
        <x:v>物品来源弹窗</x:v>
      </x:c>
      <x:c r="C28" s="21" t="str">
        <x:v>弹窗</x:v>
      </x:c>
      <x:c r="D28" s="21" t="str">
        <x:v>理解来源、用途与解锁条件</x:v>
      </x:c>
      <x:c r="E28" s="21" t="str">
        <x:v>点击任一需求/物品</x:v>
      </x:c>
      <x:c r="F28" s="21" t="str">
        <x:v>三态来源、前往、用途</x:v>
      </x:c>
      <x:c r="G28" s="21" t="str">
        <x:v>不可获得/条件可得/多个来源/返回</x:v>
      </x:c>
      <x:c r="H28" s="21" t="str">
        <x:v>回原任务上下文</x:v>
      </x:c>
      <x:c r="I28" s="21" t="str">
        <x:v>24_物品来源_宁神草弹窗.png</x:v>
      </x:c>
      <x:c r="J28" s="21" t="str">
        <x:v>?ui-screen=24</x:v>
      </x:c>
      <x:c r="K28" s="21" t="str">
        <x:v>320×568;360×800;390×844;430×932;844×390</x:v>
      </x:c>
      <x:c r="L28" s="21" t="str"/>
      <x:c r="M28" s="21" t="str">
        <x:v>未检查</x:v>
      </x:c>
      <x:c r="N28" s="21" t="str"/>
      <x:c r="O28" s="21" t="str"/>
    </x:row>
    <x:row r="29" ht="58" customHeight="1">
      <x:c r="A29" s="23" t="str">
        <x:v>25</x:v>
      </x:c>
      <x:c r="B29" s="23" t="str">
        <x:v>生产设施升级弹窗</x:v>
      </x:c>
      <x:c r="C29" s="21" t="str">
        <x:v>弹窗</x:v>
      </x:c>
      <x:c r="D29" s="21" t="str">
        <x:v>比较升级成本与收益</x:v>
      </x:c>
      <x:c r="E29" s="21" t="str">
        <x:v>设施页/地图</x:v>
      </x:c>
      <x:c r="F29" s="21" t="str">
        <x:v>等级、效果、成本、确认</x:v>
      </x:c>
      <x:c r="G29" s="21" t="str">
        <x:v>满级/不足/连点/失败</x:v>
      </x:c>
      <x:c r="H29" s="21" t="str">
        <x:v>回设施并刷新数据</x:v>
      </x:c>
      <x:c r="I29" s="21" t="str">
        <x:v>25_生产设施升级_百草园弹窗.png</x:v>
      </x:c>
      <x:c r="J29" s="21" t="str">
        <x:v>?ui-screen=25</x:v>
      </x:c>
      <x:c r="K29" s="21" t="str">
        <x:v>320×568;360×800;390×844;430×932;844×390</x:v>
      </x:c>
      <x:c r="L29" s="21" t="str"/>
      <x:c r="M29" s="21" t="str">
        <x:v>未检查</x:v>
      </x:c>
      <x:c r="N29" s="21" t="str"/>
      <x:c r="O29" s="21" t="str"/>
    </x:row>
    <x:row r="30" ht="58" customHeight="1">
      <x:c r="A30" s="23" t="str">
        <x:v>26</x:v>
      </x:c>
      <x:c r="B30" s="23" t="str">
        <x:v>修缮物件完成弹窗</x:v>
      </x:c>
      <x:c r="C30" s="21" t="str">
        <x:v>弹窗</x:v>
      </x:c>
      <x:c r="D30" s="21" t="str">
        <x:v>获得阶段完成反馈</x:v>
      </x:c>
      <x:c r="E30" s="21" t="str">
        <x:v>修缮结算</x:v>
      </x:c>
      <x:c r="F30" s="21" t="str">
        <x:v>前后对比、奖励、下一步</x:v>
      </x:c>
      <x:c r="G30" s="21" t="str">
        <x:v>重复触发/演出中断/连续阶段</x:v>
      </x:c>
      <x:c r="H30" s="21" t="str">
        <x:v>回地图/目标</x:v>
      </x:c>
      <x:c r="I30" s="21" t="str">
        <x:v>26_修缮物件完成_栖霞匾弹窗.png</x:v>
      </x:c>
      <x:c r="J30" s="21" t="str">
        <x:v>?ui-screen=26</x:v>
      </x:c>
      <x:c r="K30" s="21" t="str">
        <x:v>320×568;360×800;390×844;430×932;844×390</x:v>
      </x:c>
      <x:c r="L30" s="21" t="str"/>
      <x:c r="M30" s="21" t="str">
        <x:v>未检查</x:v>
      </x:c>
      <x:c r="N30" s="21" t="str"/>
      <x:c r="O30" s="21" t="str"/>
    </x:row>
    <x:row r="31" ht="58" customHeight="1">
      <x:c r="A31" s="23" t="str">
        <x:v>27</x:v>
      </x:c>
      <x:c r="B31" s="23" t="str">
        <x:v>区域解锁弹窗</x:v>
      </x:c>
      <x:c r="C31" s="21" t="str">
        <x:v>弹窗</x:v>
      </x:c>
      <x:c r="D31" s="21" t="str">
        <x:v>理解新区域能力并进入</x:v>
      </x:c>
      <x:c r="E31" s="21" t="str">
        <x:v>满足解锁条件</x:v>
      </x:c>
      <x:c r="F31" s="21" t="str">
        <x:v>区域说明、立即前往、稍后</x:v>
      </x:c>
      <x:c r="G31" s="21" t="str">
        <x:v>重复触发/横屏/资源加载慢</x:v>
      </x:c>
      <x:c r="H31" s="21" t="str">
        <x:v>进入区域或回原页</x:v>
      </x:c>
      <x:c r="I31" s="21" t="str">
        <x:v>27_区域解锁_梳洗阁弹窗.png</x:v>
      </x:c>
      <x:c r="J31" s="21" t="str">
        <x:v>?ui-screen=27</x:v>
      </x:c>
      <x:c r="K31" s="21" t="str">
        <x:v>320×568;360×800;390×844;430×932;844×390</x:v>
      </x:c>
      <x:c r="L31" s="21" t="str"/>
      <x:c r="M31" s="21" t="str">
        <x:v>未检查</x:v>
      </x:c>
      <x:c r="N31" s="21" t="str"/>
      <x:c r="O31" s="21" t="str"/>
    </x:row>
    <x:row r="32" ht="58" customHeight="1">
      <x:c r="A32" s="23" t="str">
        <x:v>28</x:v>
      </x:c>
      <x:c r="B32" s="23" t="str">
        <x:v>灵力不足弹窗</x:v>
      </x:c>
      <x:c r="C32" s="21" t="str">
        <x:v>弹窗</x:v>
      </x:c>
      <x:c r="D32" s="21" t="str">
        <x:v>理解不足并选择可行路径</x:v>
      </x:c>
      <x:c r="E32" s="21" t="str">
        <x:v>生成/照料等成本不足</x:v>
      </x:c>
      <x:c r="F32" s="21" t="str">
        <x:v>恢复说明、奖励来源、返回</x:v>
      </x:c>
      <x:c r="G32" s="21" t="str">
        <x:v>0/刚好/溢出/广告关闭</x:v>
      </x:c>
      <x:c r="H32" s="21" t="str">
        <x:v>回原操作且不误扣</x:v>
      </x:c>
      <x:c r="I32" s="21" t="str">
        <x:v>28_灵力不足弹窗.png</x:v>
      </x:c>
      <x:c r="J32" s="21" t="str">
        <x:v>?ui-screen=28</x:v>
      </x:c>
      <x:c r="K32" s="21" t="str">
        <x:v>320×568;360×800;390×844;430×932;844×390</x:v>
      </x:c>
      <x:c r="L32" s="21" t="str"/>
      <x:c r="M32" s="21" t="str">
        <x:v>未检查</x:v>
      </x:c>
      <x:c r="N32" s="21" t="str"/>
      <x:c r="O32" s="21" t="str"/>
    </x:row>
    <x:row r="33" ht="58" customHeight="1">
      <x:c r="A33" s="23" t="str">
        <x:v>29</x:v>
      </x:c>
      <x:c r="B33" s="23" t="str">
        <x:v>灵阵满格弹窗</x:v>
      </x:c>
      <x:c r="C33" s="21" t="str">
        <x:v>弹窗</x:v>
      </x:c>
      <x:c r="D33" s="21" t="str">
        <x:v>恢复可操作空间</x:v>
      </x:c>
      <x:c r="E33" s="21" t="str">
        <x:v>49格无空位</x:v>
      </x:c>
      <x:c r="F33" s="21" t="str">
        <x:v>整理、回收、药匣、取消</x:v>
      </x:c>
      <x:c r="G33" s="21" t="str">
        <x:v>待领取/不可回收物/连点</x:v>
      </x:c>
      <x:c r="H33" s="21" t="str">
        <x:v>回灵阵并可继续</x:v>
      </x:c>
      <x:c r="I33" s="21" t="str">
        <x:v>29_灵阵满格弹窗.png</x:v>
      </x:c>
      <x:c r="J33" s="21" t="str">
        <x:v>?ui-screen=29</x:v>
      </x:c>
      <x:c r="K33" s="21" t="str">
        <x:v>320×568;360×800;390×844;430×932;844×390</x:v>
      </x:c>
      <x:c r="L33" s="21" t="str"/>
      <x:c r="M33" s="21" t="str">
        <x:v>未检查</x:v>
      </x:c>
      <x:c r="N33" s="21" t="str"/>
      <x:c r="O33" s="21" t="str"/>
    </x:row>
    <x:row r="34" ht="58" customHeight="1">
      <x:c r="A34" s="23" t="str">
        <x:v>30</x:v>
      </x:c>
      <x:c r="B34" s="23" t="str">
        <x:v>回收确认弹窗</x:v>
      </x:c>
      <x:c r="C34" s="21" t="str">
        <x:v>确认弹窗</x:v>
      </x:c>
      <x:c r="D34" s="21" t="str">
        <x:v>确认物品、收益与风险</x:v>
      </x:c>
      <x:c r="E34" s="21" t="str">
        <x:v>点击回收</x:v>
      </x:c>
      <x:c r="F34" s="21" t="str">
        <x:v>对象、阶位、收益、确认/取消</x:v>
      </x:c>
      <x:c r="G34" s="21" t="str">
        <x:v>高阶/任务物品/连点/焦点恢复</x:v>
      </x:c>
      <x:c r="H34" s="21" t="str">
        <x:v>回灵阵</x:v>
      </x:c>
      <x:c r="I34" s="21" t="str">
        <x:v>30_回收确认弹窗.png</x:v>
      </x:c>
      <x:c r="J34" s="21" t="str">
        <x:v>?ui-screen=30</x:v>
      </x:c>
      <x:c r="K34" s="21" t="str">
        <x:v>320×568;360×800;390×844;430×932;844×390</x:v>
      </x:c>
      <x:c r="L34" s="21" t="str"/>
      <x:c r="M34" s="21" t="str">
        <x:v>未检查</x:v>
      </x:c>
      <x:c r="N34" s="21" t="str"/>
      <x:c r="O34" s="21" t="str"/>
    </x:row>
    <x:row r="35" ht="58" customHeight="1">
      <x:c r="A35" s="23" t="str">
        <x:v>31</x:v>
      </x:c>
      <x:c r="B35" s="23" t="str">
        <x:v>存档导入弹窗</x:v>
      </x:c>
      <x:c r="C35" s="21" t="str">
        <x:v>确认/进度弹窗</x:v>
      </x:c>
      <x:c r="D35" s="21" t="str">
        <x:v>安全导入并可恢复</x:v>
      </x:c>
      <x:c r="E35" s="21" t="str">
        <x:v>设置→导入</x:v>
      </x:c>
      <x:c r="F35" s="21" t="str">
        <x:v>选文件、校验、备份、确认、结果</x:v>
      </x:c>
      <x:c r="G35" s="21" t="str">
        <x:v>损坏/未来/超大/中断/配额不足</x:v>
      </x:c>
      <x:c r="H35" s="21" t="str">
        <x:v>进入恢复状态或保持原档</x:v>
      </x:c>
      <x:c r="I35" s="21" t="str">
        <x:v>31_存档导入弹窗.png</x:v>
      </x:c>
      <x:c r="J35" s="21" t="str">
        <x:v>?ui-screen=31</x:v>
      </x:c>
      <x:c r="K35" s="21" t="str">
        <x:v>320×568;360×800;390×844;430×932;844×390</x:v>
      </x:c>
      <x:c r="L35" s="21" t="str"/>
      <x:c r="M35" s="21" t="str">
        <x:v>未检查</x:v>
      </x:c>
      <x:c r="N35" s="21" t="str"/>
      <x:c r="O35" s="21" t="str"/>
    </x:row>
    <x:row r="36" ht="58" customHeight="1">
      <x:c r="A36" s="23" t="str">
        <x:v>32</x:v>
      </x:c>
      <x:c r="B36" s="23" t="str">
        <x:v>每日完成·今日心意弹窗</x:v>
      </x:c>
      <x:c r="C36" s="21" t="str">
        <x:v>奖励弹窗</x:v>
      </x:c>
      <x:c r="D36" s="21" t="str">
        <x:v>确认日常完成奖励</x:v>
      </x:c>
      <x:c r="E36" s="21" t="str">
        <x:v>三目标完成/领取</x:v>
      </x:c>
      <x:c r="F36" s="21" t="str">
        <x:v>奖励明细、七日状态、继续</x:v>
      </x:c>
      <x:c r="G36" s="21" t="str">
        <x:v>重复触发/第8日/满盘/保存失败</x:v>
      </x:c>
      <x:c r="H36" s="21" t="str">
        <x:v>回主循环与新目标</x:v>
      </x:c>
      <x:c r="I36" s="21" t="str">
        <x:v>32_每日完成_今日心意弹窗.png</x:v>
      </x:c>
      <x:c r="J36" s="21" t="str">
        <x:v>?ui-screen=32</x:v>
      </x:c>
      <x:c r="K36" s="21" t="str">
        <x:v>320×568;360×800;390×844;430×932;844×390</x:v>
      </x:c>
      <x:c r="L36" s="21" t="str"/>
      <x:c r="M36" s="21" t="str">
        <x:v>未检查</x:v>
      </x:c>
      <x:c r="N36" s="21" t="str"/>
      <x:c r="O36" s="21" t="str"/>
    </x:row>
  </x:sheetData>
  <x:mergeCells>
    <x:mergeCell ref="A1:O2"/>
    <x:mergeCell ref="A3:O3"/>
  </x:mergeCells>
  <x:conditionalFormatting sqref="M5:M36">
    <x:cfRule type="containsText" dxfId="18" priority="1" operator="containsText" text="通过"/>
    <x:cfRule type="containsText" dxfId="19" priority="2" operator="containsText" text="有问题"/>
    <x:cfRule type="containsText" dxfId="20" priority="3" operator="containsText" text="待复测"/>
    <x:cfRule type="containsText" dxfId="21" priority="4" operator="containsText" text="未检查"/>
    <x:cfRule type="containsText" dxfId="22" priority="5" operator="containsText" text="不适用"/>
  </x:conditionalFormatting>
  <x:dataValidations count="1">
    <x:dataValidation type="list" sqref="M5:M36">
      <x:formula1>'口径与下拉'!$G$9:$G$13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4ef57d31884d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6" hidden="0" customWidth="1"/>
    <x:col min="5" max="5" width="20" hidden="0" customWidth="1"/>
    <x:col min="6" max="6" width="22" hidden="0" customWidth="1"/>
    <x:col min="7" max="7" width="16" hidden="0" customWidth="1"/>
    <x:col min="8" max="8" width="12" hidden="0" customWidth="1"/>
    <x:col min="9" max="9" width="34" hidden="0" customWidth="1"/>
    <x:col min="10" max="10" width="12" hidden="0" customWidth="1"/>
    <x:col min="11" max="11" width="11" hidden="0" customWidth="1"/>
    <x:col min="12" max="12" width="10" hidden="0" customWidth="1"/>
    <x:col min="13" max="13" width="10" hidden="0" customWidth="1"/>
    <x:col min="14" max="14" width="10" hidden="0" customWidth="1"/>
    <x:col min="15" max="15" width="30" hidden="0" customWidth="1"/>
    <x:col min="16" max="16" width="20" hidden="0" customWidth="1"/>
    <x:col min="17" max="17" width="12" hidden="0" customWidth="1"/>
    <x:col min="18" max="18" width="34" hidden="0" customWidth="1"/>
    <x:col min="19" max="19" width="14" hidden="0" customWidth="1"/>
    <x:col min="20" max="20" width="28" hidden="0" customWidth="1"/>
  </x:cols>
  <x:sheetData>
    <x:row r="1" ht="34" customHeight="1">
      <x:c r="A1" s="4" t="str">
        <x:v>可用性测试观察记录</x:v>
      </x:c>
      <x:c r="B1" s="4" t="str">
        <x:v>可用性测试观察记录</x:v>
      </x:c>
      <x:c r="C1" s="4" t="str">
        <x:v>可用性测试观察记录</x:v>
      </x:c>
      <x:c r="D1" s="4" t="str">
        <x:v>可用性测试观察记录</x:v>
      </x:c>
      <x:c r="E1" s="4" t="str">
        <x:v>可用性测试观察记录</x:v>
      </x:c>
      <x:c r="F1" s="4" t="str">
        <x:v>可用性测试观察记录</x:v>
      </x:c>
      <x:c r="G1" s="4" t="str">
        <x:v>可用性测试观察记录</x:v>
      </x:c>
      <x:c r="H1" s="4" t="str">
        <x:v>可用性测试观察记录</x:v>
      </x:c>
      <x:c r="I1" s="4" t="str">
        <x:v>可用性测试观察记录</x:v>
      </x:c>
      <x:c r="J1" s="4" t="str">
        <x:v>可用性测试观察记录</x:v>
      </x:c>
      <x:c r="K1" s="4" t="str">
        <x:v>可用性测试观察记录</x:v>
      </x:c>
      <x:c r="L1" s="4" t="str">
        <x:v>可用性测试观察记录</x:v>
      </x:c>
      <x:c r="M1" s="4" t="str">
        <x:v>可用性测试观察记录</x:v>
      </x:c>
      <x:c r="N1" s="4" t="str">
        <x:v>可用性测试观察记录</x:v>
      </x:c>
      <x:c r="O1" s="4" t="str">
        <x:v>可用性测试观察记录</x:v>
      </x:c>
      <x:c r="P1" s="4" t="str">
        <x:v>可用性测试观察记录</x:v>
      </x:c>
      <x:c r="Q1" s="4" t="str">
        <x:v>可用性测试观察记录</x:v>
      </x:c>
      <x:c r="R1" s="4" t="str">
        <x:v>可用性测试观察记录</x:v>
      </x:c>
      <x:c r="S1" s="4" t="str">
        <x:v>可用性测试观察记录</x:v>
      </x:c>
      <x:c r="T1" s="4" t="str">
        <x:v>可用性测试观察记录</x:v>
      </x:c>
    </x:row>
    <x:row r="2" ht="34" customHeight="1">
      <x:c r="A2" s="4" t="str">
        <x:v>可用性测试观察记录</x:v>
      </x:c>
      <x:c r="B2" s="4" t="str">
        <x:v>可用性测试观察记录</x:v>
      </x:c>
      <x:c r="C2" s="4" t="str">
        <x:v>可用性测试观察记录</x:v>
      </x:c>
      <x:c r="D2" s="4" t="str">
        <x:v>可用性测试观察记录</x:v>
      </x:c>
      <x:c r="E2" s="4" t="str">
        <x:v>可用性测试观察记录</x:v>
      </x:c>
      <x:c r="F2" s="4" t="str">
        <x:v>可用性测试观察记录</x:v>
      </x:c>
      <x:c r="G2" s="4" t="str">
        <x:v>可用性测试观察记录</x:v>
      </x:c>
      <x:c r="H2" s="4" t="str">
        <x:v>可用性测试观察记录</x:v>
      </x:c>
      <x:c r="I2" s="4" t="str">
        <x:v>可用性测试观察记录</x:v>
      </x:c>
      <x:c r="J2" s="4" t="str">
        <x:v>可用性测试观察记录</x:v>
      </x:c>
      <x:c r="K2" s="4" t="str">
        <x:v>可用性测试观察记录</x:v>
      </x:c>
      <x:c r="L2" s="4" t="str">
        <x:v>可用性测试观察记录</x:v>
      </x:c>
      <x:c r="M2" s="4" t="str">
        <x:v>可用性测试观察记录</x:v>
      </x:c>
      <x:c r="N2" s="4" t="str">
        <x:v>可用性测试观察记录</x:v>
      </x:c>
      <x:c r="O2" s="4" t="str">
        <x:v>可用性测试观察记录</x:v>
      </x:c>
      <x:c r="P2" s="4" t="str">
        <x:v>可用性测试观察记录</x:v>
      </x:c>
      <x:c r="Q2" s="4" t="str">
        <x:v>可用性测试观察记录</x:v>
      </x:c>
      <x:c r="R2" s="4" t="str">
        <x:v>可用性测试观察记录</x:v>
      </x:c>
      <x:c r="S2" s="4" t="str">
        <x:v>可用性测试观察记录</x:v>
      </x:c>
      <x:c r="T2" s="4" t="str">
        <x:v>可用性测试观察记录</x:v>
      </x:c>
    </x:row>
    <x:row r="3" ht="34" customHeight="1">
      <x:c r="A3" s="8" t="str">
        <x:v>建议至少覆盖：首次接触玩家、休闲合成玩家、治愈收集玩家、回流玩家；关键任务包括首修、合并、查来源、照料、小游戏、导入存档和异常恢复。</x:v>
      </x:c>
      <x:c r="B3" s="8" t="str">
        <x:v>建议至少覆盖：首次接触玩家、休闲合成玩家、治愈收集玩家、回流玩家；关键任务包括首修、合并、查来源、照料、小游戏、导入存档和异常恢复。</x:v>
      </x:c>
      <x:c r="C3" s="8" t="str">
        <x:v>建议至少覆盖：首次接触玩家、休闲合成玩家、治愈收集玩家、回流玩家；关键任务包括首修、合并、查来源、照料、小游戏、导入存档和异常恢复。</x:v>
      </x:c>
      <x:c r="D3" s="8" t="str">
        <x:v>建议至少覆盖：首次接触玩家、休闲合成玩家、治愈收集玩家、回流玩家；关键任务包括首修、合并、查来源、照料、小游戏、导入存档和异常恢复。</x:v>
      </x:c>
      <x:c r="E3" s="8" t="str">
        <x:v>建议至少覆盖：首次接触玩家、休闲合成玩家、治愈收集玩家、回流玩家；关键任务包括首修、合并、查来源、照料、小游戏、导入存档和异常恢复。</x:v>
      </x:c>
      <x:c r="F3" s="8" t="str">
        <x:v>建议至少覆盖：首次接触玩家、休闲合成玩家、治愈收集玩家、回流玩家；关键任务包括首修、合并、查来源、照料、小游戏、导入存档和异常恢复。</x:v>
      </x:c>
      <x:c r="G3" s="8" t="str">
        <x:v>建议至少覆盖：首次接触玩家、休闲合成玩家、治愈收集玩家、回流玩家；关键任务包括首修、合并、查来源、照料、小游戏、导入存档和异常恢复。</x:v>
      </x:c>
      <x:c r="H3" s="8" t="str">
        <x:v>建议至少覆盖：首次接触玩家、休闲合成玩家、治愈收集玩家、回流玩家；关键任务包括首修、合并、查来源、照料、小游戏、导入存档和异常恢复。</x:v>
      </x:c>
      <x:c r="I3" s="8" t="str">
        <x:v>建议至少覆盖：首次接触玩家、休闲合成玩家、治愈收集玩家、回流玩家；关键任务包括首修、合并、查来源、照料、小游戏、导入存档和异常恢复。</x:v>
      </x:c>
      <x:c r="J3" s="8" t="str">
        <x:v>建议至少覆盖：首次接触玩家、休闲合成玩家、治愈收集玩家、回流玩家；关键任务包括首修、合并、查来源、照料、小游戏、导入存档和异常恢复。</x:v>
      </x:c>
      <x:c r="K3" s="8" t="str">
        <x:v>建议至少覆盖：首次接触玩家、休闲合成玩家、治愈收集玩家、回流玩家；关键任务包括首修、合并、查来源、照料、小游戏、导入存档和异常恢复。</x:v>
      </x:c>
      <x:c r="L3" s="8" t="str">
        <x:v>建议至少覆盖：首次接触玩家、休闲合成玩家、治愈收集玩家、回流玩家；关键任务包括首修、合并、查来源、照料、小游戏、导入存档和异常恢复。</x:v>
      </x:c>
      <x:c r="M3" s="8" t="str">
        <x:v>建议至少覆盖：首次接触玩家、休闲合成玩家、治愈收集玩家、回流玩家；关键任务包括首修、合并、查来源、照料、小游戏、导入存档和异常恢复。</x:v>
      </x:c>
      <x:c r="N3" s="8" t="str">
        <x:v>建议至少覆盖：首次接触玩家、休闲合成玩家、治愈收集玩家、回流玩家；关键任务包括首修、合并、查来源、照料、小游戏、导入存档和异常恢复。</x:v>
      </x:c>
      <x:c r="O3" s="8" t="str">
        <x:v>建议至少覆盖：首次接触玩家、休闲合成玩家、治愈收集玩家、回流玩家；关键任务包括首修、合并、查来源、照料、小游戏、导入存档和异常恢复。</x:v>
      </x:c>
      <x:c r="P3" s="8" t="str">
        <x:v>建议至少覆盖：首次接触玩家、休闲合成玩家、治愈收集玩家、回流玩家；关键任务包括首修、合并、查来源、照料、小游戏、导入存档和异常恢复。</x:v>
      </x:c>
      <x:c r="Q3" s="8" t="str">
        <x:v>建议至少覆盖：首次接触玩家、休闲合成玩家、治愈收集玩家、回流玩家；关键任务包括首修、合并、查来源、照料、小游戏、导入存档和异常恢复。</x:v>
      </x:c>
      <x:c r="R3" s="8" t="str">
        <x:v>建议至少覆盖：首次接触玩家、休闲合成玩家、治愈收集玩家、回流玩家；关键任务包括首修、合并、查来源、照料、小游戏、导入存档和异常恢复。</x:v>
      </x:c>
      <x:c r="S3" s="8" t="str">
        <x:v>建议至少覆盖：首次接触玩家、休闲合成玩家、治愈收集玩家、回流玩家；关键任务包括首修、合并、查来源、照料、小游戏、导入存档和异常恢复。</x:v>
      </x:c>
      <x:c r="T3" s="8" t="str">
        <x:v>建议至少覆盖：首次接触玩家、休闲合成玩家、治愈收集玩家、回流玩家；关键任务包括首修、合并、查来源、照料、小游戏、导入存档和异常恢复。</x:v>
      </x:c>
    </x:row>
    <x:row r="4" ht="32" customHeight="1">
      <x:c r="A4" s="14" t="str">
        <x:v>会话ID</x:v>
      </x:c>
      <x:c r="B4" s="14" t="str">
        <x:v>日期</x:v>
      </x:c>
      <x:c r="C4" s="14" t="str">
        <x:v>构建/版本</x:v>
      </x:c>
      <x:c r="D4" s="14" t="str">
        <x:v>用户类型</x:v>
      </x:c>
      <x:c r="E4" s="14" t="str">
        <x:v>游戏经验</x:v>
      </x:c>
      <x:c r="F4" s="14" t="str">
        <x:v>设备/浏览器</x:v>
      </x:c>
      <x:c r="G4" s="14" t="str">
        <x:v>视口</x:v>
      </x:c>
      <x:c r="H4" s="14" t="str">
        <x:v>任务ID</x:v>
      </x:c>
      <x:c r="I4" s="14" t="str">
        <x:v>任务描述</x:v>
      </x:c>
      <x:c r="J4" s="14" t="str">
        <x:v>完成结果</x:v>
      </x:c>
      <x:c r="K4" s="14" t="str">
        <x:v>耗时(秒)</x:v>
      </x:c>
      <x:c r="L4" s="14" t="str">
        <x:v>误触数</x:v>
      </x:c>
      <x:c r="M4" s="14" t="str">
        <x:v>回退数</x:v>
      </x:c>
      <x:c r="N4" s="14" t="str">
        <x:v>是否求助</x:v>
      </x:c>
      <x:c r="O4" s="14" t="str">
        <x:v>困惑点</x:v>
      </x:c>
      <x:c r="P4" s="14" t="str">
        <x:v>情绪反应</x:v>
      </x:c>
      <x:c r="Q4" s="14" t="str">
        <x:v>满意度(1-5)</x:v>
      </x:c>
      <x:c r="R4" s="14" t="str">
        <x:v>原话/观察</x:v>
      </x:c>
      <x:c r="S4" s="14" t="str">
        <x:v>关联问题ID</x:v>
      </x:c>
      <x:c r="T4" s="14" t="str">
        <x:v>备注</x:v>
      </x:c>
    </x:row>
    <x:row r="5" ht="42" customHeight="1">
      <x:c r="A5" s="20" t="str"/>
      <x:c r="B5" s="30" t="str"/>
      <x:c r="C5" s="20" t="str"/>
      <x:c r="D5" s="20" t="str"/>
      <x:c r="E5" s="20" t="str"/>
      <x:c r="F5" s="20" t="str"/>
      <x:c r="G5" s="20" t="str"/>
      <x:c r="H5" s="20" t="str"/>
      <x:c r="I5" s="20" t="str"/>
      <x:c r="J5" s="20" t="str"/>
      <x:c r="K5" s="20" t="str"/>
      <x:c r="L5" s="20" t="str"/>
      <x:c r="M5" s="20" t="str"/>
      <x:c r="N5" s="20" t="str"/>
      <x:c r="O5" s="20" t="str"/>
      <x:c r="P5" s="20" t="str"/>
      <x:c r="Q5" s="20" t="str"/>
      <x:c r="R5" s="20" t="str"/>
      <x:c r="S5" s="20" t="str"/>
      <x:c r="T5" s="20" t="str"/>
    </x:row>
    <x:row r="6" ht="42" customHeight="1">
      <x:c r="A6" s="21" t="str"/>
      <x:c r="B6" s="31" t="str"/>
      <x:c r="C6" s="21" t="str"/>
      <x:c r="D6" s="21" t="str"/>
      <x:c r="E6" s="21" t="str"/>
      <x:c r="F6" s="21" t="str"/>
      <x:c r="G6" s="21" t="str"/>
      <x:c r="H6" s="21" t="str"/>
      <x:c r="I6" s="21" t="str"/>
      <x:c r="J6" s="21" t="str"/>
      <x:c r="K6" s="21" t="str"/>
      <x:c r="L6" s="21" t="str"/>
      <x:c r="M6" s="21" t="str"/>
      <x:c r="N6" s="21" t="str"/>
      <x:c r="O6" s="21" t="str"/>
      <x:c r="P6" s="21" t="str"/>
      <x:c r="Q6" s="21" t="str"/>
      <x:c r="R6" s="21" t="str"/>
      <x:c r="S6" s="21" t="str"/>
      <x:c r="T6" s="21" t="str"/>
    </x:row>
    <x:row r="7" ht="42" customHeight="1">
      <x:c r="A7" s="21" t="str"/>
      <x:c r="B7" s="31" t="str"/>
      <x:c r="C7" s="21" t="str"/>
      <x:c r="D7" s="21" t="str"/>
      <x:c r="E7" s="21" t="str"/>
      <x:c r="F7" s="21" t="str"/>
      <x:c r="G7" s="21" t="str"/>
      <x:c r="H7" s="21" t="str"/>
      <x:c r="I7" s="21" t="str"/>
      <x:c r="J7" s="21" t="str"/>
      <x:c r="K7" s="21" t="str"/>
      <x:c r="L7" s="21" t="str"/>
      <x:c r="M7" s="21" t="str"/>
      <x:c r="N7" s="21" t="str"/>
      <x:c r="O7" s="21" t="str"/>
      <x:c r="P7" s="21" t="str"/>
      <x:c r="Q7" s="21" t="str"/>
      <x:c r="R7" s="21" t="str"/>
      <x:c r="S7" s="21" t="str"/>
      <x:c r="T7" s="21" t="str"/>
    </x:row>
    <x:row r="8" ht="42" customHeight="1">
      <x:c r="A8" s="21" t="str"/>
      <x:c r="B8" s="31" t="str"/>
      <x:c r="C8" s="21" t="str"/>
      <x:c r="D8" s="21" t="str"/>
      <x:c r="E8" s="21" t="str"/>
      <x:c r="F8" s="21" t="str"/>
      <x:c r="G8" s="21" t="str"/>
      <x:c r="H8" s="21" t="str"/>
      <x:c r="I8" s="21" t="str"/>
      <x:c r="J8" s="21" t="str"/>
      <x:c r="K8" s="21" t="str"/>
      <x:c r="L8" s="21" t="str"/>
      <x:c r="M8" s="21" t="str"/>
      <x:c r="N8" s="21" t="str"/>
      <x:c r="O8" s="21" t="str"/>
      <x:c r="P8" s="21" t="str"/>
      <x:c r="Q8" s="21" t="str"/>
      <x:c r="R8" s="21" t="str"/>
      <x:c r="S8" s="21" t="str"/>
      <x:c r="T8" s="21" t="str"/>
    </x:row>
    <x:row r="9" ht="42" customHeight="1">
      <x:c r="A9" s="21" t="str"/>
      <x:c r="B9" s="31" t="str"/>
      <x:c r="C9" s="21" t="str"/>
      <x:c r="D9" s="21" t="str"/>
      <x:c r="E9" s="21" t="str"/>
      <x:c r="F9" s="21" t="str"/>
      <x:c r="G9" s="21" t="str"/>
      <x:c r="H9" s="21" t="str"/>
      <x:c r="I9" s="21" t="str"/>
      <x:c r="J9" s="21" t="str"/>
      <x:c r="K9" s="21" t="str"/>
      <x:c r="L9" s="21" t="str"/>
      <x:c r="M9" s="21" t="str"/>
      <x:c r="N9" s="21" t="str"/>
      <x:c r="O9" s="21" t="str"/>
      <x:c r="P9" s="21" t="str"/>
      <x:c r="Q9" s="21" t="str"/>
      <x:c r="R9" s="21" t="str"/>
      <x:c r="S9" s="21" t="str"/>
      <x:c r="T9" s="21" t="str"/>
    </x:row>
    <x:row r="10" ht="42" customHeight="1">
      <x:c r="A10" s="21" t="str"/>
      <x:c r="B10" s="31" t="str"/>
      <x:c r="C10" s="21" t="str"/>
      <x:c r="D10" s="21" t="str"/>
      <x:c r="E10" s="21" t="str"/>
      <x:c r="F10" s="21" t="str"/>
      <x:c r="G10" s="21" t="str"/>
      <x:c r="H10" s="21" t="str"/>
      <x:c r="I10" s="21" t="str"/>
      <x:c r="J10" s="21" t="str"/>
      <x:c r="K10" s="21" t="str"/>
      <x:c r="L10" s="21" t="str"/>
      <x:c r="M10" s="21" t="str"/>
      <x:c r="N10" s="21" t="str"/>
      <x:c r="O10" s="21" t="str"/>
      <x:c r="P10" s="21" t="str"/>
      <x:c r="Q10" s="21" t="str"/>
      <x:c r="R10" s="21" t="str"/>
      <x:c r="S10" s="21" t="str"/>
      <x:c r="T10" s="21" t="str"/>
    </x:row>
    <x:row r="11" ht="42" customHeight="1">
      <x:c r="A11" s="21" t="str"/>
      <x:c r="B11" s="31" t="str"/>
      <x:c r="C11" s="21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1" t="str"/>
      <x:c r="L11" s="21" t="str"/>
      <x:c r="M11" s="21" t="str"/>
      <x:c r="N11" s="21" t="str"/>
      <x:c r="O11" s="21" t="str"/>
      <x:c r="P11" s="21" t="str"/>
      <x:c r="Q11" s="21" t="str"/>
      <x:c r="R11" s="21" t="str"/>
      <x:c r="S11" s="21" t="str"/>
      <x:c r="T11" s="21" t="str"/>
    </x:row>
    <x:row r="12" ht="42" customHeight="1">
      <x:c r="A12" s="21" t="str"/>
      <x:c r="B12" s="31" t="str"/>
      <x:c r="C12" s="21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1" t="str"/>
      <x:c r="L12" s="21" t="str"/>
      <x:c r="M12" s="21" t="str"/>
      <x:c r="N12" s="21" t="str"/>
      <x:c r="O12" s="21" t="str"/>
      <x:c r="P12" s="21" t="str"/>
      <x:c r="Q12" s="21" t="str"/>
      <x:c r="R12" s="21" t="str"/>
      <x:c r="S12" s="21" t="str"/>
      <x:c r="T12" s="21" t="str"/>
    </x:row>
    <x:row r="13" ht="42" customHeight="1">
      <x:c r="A13" s="21" t="str"/>
      <x:c r="B13" s="31" t="str"/>
      <x:c r="C13" s="21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1" t="str"/>
      <x:c r="L13" s="21" t="str"/>
      <x:c r="M13" s="21" t="str"/>
      <x:c r="N13" s="21" t="str"/>
      <x:c r="O13" s="21" t="str"/>
      <x:c r="P13" s="21" t="str"/>
      <x:c r="Q13" s="21" t="str"/>
      <x:c r="R13" s="21" t="str"/>
      <x:c r="S13" s="21" t="str"/>
      <x:c r="T13" s="21" t="str"/>
    </x:row>
    <x:row r="14" ht="42" customHeight="1">
      <x:c r="A14" s="21" t="str"/>
      <x:c r="B14" s="31" t="str"/>
      <x:c r="C14" s="21" t="str"/>
      <x:c r="D14" s="21" t="str"/>
      <x:c r="E14" s="21" t="str"/>
      <x:c r="F14" s="21" t="str"/>
      <x:c r="G14" s="21" t="str"/>
      <x:c r="H14" s="21" t="str"/>
      <x:c r="I14" s="21" t="str"/>
      <x:c r="J14" s="21" t="str"/>
      <x:c r="K14" s="21" t="str"/>
      <x:c r="L14" s="21" t="str"/>
      <x:c r="M14" s="21" t="str"/>
      <x:c r="N14" s="21" t="str"/>
      <x:c r="O14" s="21" t="str"/>
      <x:c r="P14" s="21" t="str"/>
      <x:c r="Q14" s="21" t="str"/>
      <x:c r="R14" s="21" t="str"/>
      <x:c r="S14" s="21" t="str"/>
      <x:c r="T14" s="21" t="str"/>
    </x:row>
    <x:row r="15" ht="42" customHeight="1">
      <x:c r="A15" s="21" t="str"/>
      <x:c r="B15" s="31" t="str"/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1" t="str"/>
      <x:c r="L15" s="21" t="str"/>
      <x:c r="M15" s="21" t="str"/>
      <x:c r="N15" s="21" t="str"/>
      <x:c r="O15" s="21" t="str"/>
      <x:c r="P15" s="21" t="str"/>
      <x:c r="Q15" s="21" t="str"/>
      <x:c r="R15" s="21" t="str"/>
      <x:c r="S15" s="21" t="str"/>
      <x:c r="T15" s="21" t="str"/>
    </x:row>
    <x:row r="16" ht="42" customHeight="1">
      <x:c r="A16" s="21" t="str"/>
      <x:c r="B16" s="31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  <x:c r="L16" s="21" t="str"/>
      <x:c r="M16" s="21" t="str"/>
      <x:c r="N16" s="21" t="str"/>
      <x:c r="O16" s="21" t="str"/>
      <x:c r="P16" s="21" t="str"/>
      <x:c r="Q16" s="21" t="str"/>
      <x:c r="R16" s="21" t="str"/>
      <x:c r="S16" s="21" t="str"/>
      <x:c r="T16" s="21" t="str"/>
    </x:row>
    <x:row r="17" ht="42" customHeight="1">
      <x:c r="A17" s="21" t="str"/>
      <x:c r="B17" s="31" t="str"/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1" t="str"/>
      <x:c r="L17" s="21" t="str"/>
      <x:c r="M17" s="21" t="str"/>
      <x:c r="N17" s="21" t="str"/>
      <x:c r="O17" s="21" t="str"/>
      <x:c r="P17" s="21" t="str"/>
      <x:c r="Q17" s="21" t="str"/>
      <x:c r="R17" s="21" t="str"/>
      <x:c r="S17" s="21" t="str"/>
      <x:c r="T17" s="21" t="str"/>
    </x:row>
    <x:row r="18" ht="42" customHeight="1">
      <x:c r="A18" s="21" t="str"/>
      <x:c r="B18" s="31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1" t="str"/>
      <x:c r="L18" s="21" t="str"/>
      <x:c r="M18" s="21" t="str"/>
      <x:c r="N18" s="21" t="str"/>
      <x:c r="O18" s="21" t="str"/>
      <x:c r="P18" s="21" t="str"/>
      <x:c r="Q18" s="21" t="str"/>
      <x:c r="R18" s="21" t="str"/>
      <x:c r="S18" s="21" t="str"/>
      <x:c r="T18" s="21" t="str"/>
    </x:row>
    <x:row r="19" ht="42" customHeight="1">
      <x:c r="A19" s="21" t="str"/>
      <x:c r="B19" s="31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1" t="str"/>
      <x:c r="K19" s="21" t="str"/>
      <x:c r="L19" s="21" t="str"/>
      <x:c r="M19" s="21" t="str"/>
      <x:c r="N19" s="21" t="str"/>
      <x:c r="O19" s="21" t="str"/>
      <x:c r="P19" s="21" t="str"/>
      <x:c r="Q19" s="21" t="str"/>
      <x:c r="R19" s="21" t="str"/>
      <x:c r="S19" s="21" t="str"/>
      <x:c r="T19" s="21" t="str"/>
    </x:row>
    <x:row r="20" ht="42" customHeight="1">
      <x:c r="A20" s="21" t="str"/>
      <x:c r="B20" s="31" t="str"/>
      <x:c r="C20" s="21" t="str"/>
      <x:c r="D20" s="21" t="str"/>
      <x:c r="E20" s="21" t="str"/>
      <x:c r="F20" s="21" t="str"/>
      <x:c r="G20" s="21" t="str"/>
      <x:c r="H20" s="21" t="str"/>
      <x:c r="I20" s="21" t="str"/>
      <x:c r="J20" s="21" t="str"/>
      <x:c r="K20" s="21" t="str"/>
      <x:c r="L20" s="21" t="str"/>
      <x:c r="M20" s="21" t="str"/>
      <x:c r="N20" s="21" t="str"/>
      <x:c r="O20" s="21" t="str"/>
      <x:c r="P20" s="21" t="str"/>
      <x:c r="Q20" s="21" t="str"/>
      <x:c r="R20" s="21" t="str"/>
      <x:c r="S20" s="21" t="str"/>
      <x:c r="T20" s="21" t="str"/>
    </x:row>
    <x:row r="21" ht="42" customHeight="1">
      <x:c r="A21" s="21" t="str"/>
      <x:c r="B21" s="31" t="str"/>
      <x:c r="C21" s="21" t="str"/>
      <x:c r="D21" s="21" t="str"/>
      <x:c r="E21" s="21" t="str"/>
      <x:c r="F21" s="21" t="str"/>
      <x:c r="G21" s="21" t="str"/>
      <x:c r="H21" s="21" t="str"/>
      <x:c r="I21" s="21" t="str"/>
      <x:c r="J21" s="21" t="str"/>
      <x:c r="K21" s="21" t="str"/>
      <x:c r="L21" s="21" t="str"/>
      <x:c r="M21" s="21" t="str"/>
      <x:c r="N21" s="21" t="str"/>
      <x:c r="O21" s="21" t="str"/>
      <x:c r="P21" s="21" t="str"/>
      <x:c r="Q21" s="21" t="str"/>
      <x:c r="R21" s="21" t="str"/>
      <x:c r="S21" s="21" t="str"/>
      <x:c r="T21" s="21" t="str"/>
    </x:row>
    <x:row r="22" ht="42" customHeight="1">
      <x:c r="A22" s="21" t="str"/>
      <x:c r="B22" s="31" t="str"/>
      <x:c r="C22" s="21" t="str"/>
      <x:c r="D22" s="21" t="str"/>
      <x:c r="E22" s="21" t="str"/>
      <x:c r="F22" s="21" t="str"/>
      <x:c r="G22" s="21" t="str"/>
      <x:c r="H22" s="21" t="str"/>
      <x:c r="I22" s="21" t="str"/>
      <x:c r="J22" s="21" t="str"/>
      <x:c r="K22" s="21" t="str"/>
      <x:c r="L22" s="21" t="str"/>
      <x:c r="M22" s="21" t="str"/>
      <x:c r="N22" s="21" t="str"/>
      <x:c r="O22" s="21" t="str"/>
      <x:c r="P22" s="21" t="str"/>
      <x:c r="Q22" s="21" t="str"/>
      <x:c r="R22" s="21" t="str"/>
      <x:c r="S22" s="21" t="str"/>
      <x:c r="T22" s="21" t="str"/>
    </x:row>
    <x:row r="23" ht="42" customHeight="1">
      <x:c r="A23" s="21" t="str"/>
      <x:c r="B23" s="31" t="str"/>
      <x:c r="C23" s="21" t="str"/>
      <x:c r="D23" s="21" t="str"/>
      <x:c r="E23" s="21" t="str"/>
      <x:c r="F23" s="21" t="str"/>
      <x:c r="G23" s="21" t="str"/>
      <x:c r="H23" s="21" t="str"/>
      <x:c r="I23" s="21" t="str"/>
      <x:c r="J23" s="21" t="str"/>
      <x:c r="K23" s="21" t="str"/>
      <x:c r="L23" s="21" t="str"/>
      <x:c r="M23" s="21" t="str"/>
      <x:c r="N23" s="21" t="str"/>
      <x:c r="O23" s="21" t="str"/>
      <x:c r="P23" s="21" t="str"/>
      <x:c r="Q23" s="21" t="str"/>
      <x:c r="R23" s="21" t="str"/>
      <x:c r="S23" s="21" t="str"/>
      <x:c r="T23" s="21" t="str"/>
    </x:row>
    <x:row r="24" ht="42" customHeight="1">
      <x:c r="A24" s="21" t="str"/>
      <x:c r="B24" s="31" t="str"/>
      <x:c r="C24" s="21" t="str"/>
      <x:c r="D24" s="21" t="str"/>
      <x:c r="E24" s="21" t="str"/>
      <x:c r="F24" s="21" t="str"/>
      <x:c r="G24" s="21" t="str"/>
      <x:c r="H24" s="21" t="str"/>
      <x:c r="I24" s="21" t="str"/>
      <x:c r="J24" s="21" t="str"/>
      <x:c r="K24" s="21" t="str"/>
      <x:c r="L24" s="21" t="str"/>
      <x:c r="M24" s="21" t="str"/>
      <x:c r="N24" s="21" t="str"/>
      <x:c r="O24" s="21" t="str"/>
      <x:c r="P24" s="21" t="str"/>
      <x:c r="Q24" s="21" t="str"/>
      <x:c r="R24" s="21" t="str"/>
      <x:c r="S24" s="21" t="str"/>
      <x:c r="T24" s="21" t="str"/>
    </x:row>
    <x:row r="25" ht="42" customHeight="1">
      <x:c r="A25" s="21" t="str"/>
      <x:c r="B25" s="31" t="str"/>
      <x:c r="C25" s="21" t="str"/>
      <x:c r="D25" s="21" t="str"/>
      <x:c r="E25" s="21" t="str"/>
      <x:c r="F25" s="21" t="str"/>
      <x:c r="G25" s="21" t="str"/>
      <x:c r="H25" s="21" t="str"/>
      <x:c r="I25" s="21" t="str"/>
      <x:c r="J25" s="21" t="str"/>
      <x:c r="K25" s="21" t="str"/>
      <x:c r="L25" s="21" t="str"/>
      <x:c r="M25" s="21" t="str"/>
      <x:c r="N25" s="21" t="str"/>
      <x:c r="O25" s="21" t="str"/>
      <x:c r="P25" s="21" t="str"/>
      <x:c r="Q25" s="21" t="str"/>
      <x:c r="R25" s="21" t="str"/>
      <x:c r="S25" s="21" t="str"/>
      <x:c r="T25" s="21" t="str"/>
    </x:row>
    <x:row r="26" ht="42" customHeight="1">
      <x:c r="A26" s="21" t="str"/>
      <x:c r="B26" s="31" t="str"/>
      <x:c r="C26" s="21" t="str"/>
      <x:c r="D26" s="21" t="str"/>
      <x:c r="E26" s="21" t="str"/>
      <x:c r="F26" s="21" t="str"/>
      <x:c r="G26" s="21" t="str"/>
      <x:c r="H26" s="21" t="str"/>
      <x:c r="I26" s="21" t="str"/>
      <x:c r="J26" s="21" t="str"/>
      <x:c r="K26" s="21" t="str"/>
      <x:c r="L26" s="21" t="str"/>
      <x:c r="M26" s="21" t="str"/>
      <x:c r="N26" s="21" t="str"/>
      <x:c r="O26" s="21" t="str"/>
      <x:c r="P26" s="21" t="str"/>
      <x:c r="Q26" s="21" t="str"/>
      <x:c r="R26" s="21" t="str"/>
      <x:c r="S26" s="21" t="str"/>
      <x:c r="T26" s="21" t="str"/>
    </x:row>
    <x:row r="27" ht="42" customHeight="1">
      <x:c r="A27" s="21" t="str"/>
      <x:c r="B27" s="31" t="str"/>
      <x:c r="C27" s="21" t="str"/>
      <x:c r="D27" s="21" t="str"/>
      <x:c r="E27" s="21" t="str"/>
      <x:c r="F27" s="21" t="str"/>
      <x:c r="G27" s="21" t="str"/>
      <x:c r="H27" s="21" t="str"/>
      <x:c r="I27" s="21" t="str"/>
      <x:c r="J27" s="21" t="str"/>
      <x:c r="K27" s="21" t="str"/>
      <x:c r="L27" s="21" t="str"/>
      <x:c r="M27" s="21" t="str"/>
      <x:c r="N27" s="21" t="str"/>
      <x:c r="O27" s="21" t="str"/>
      <x:c r="P27" s="21" t="str"/>
      <x:c r="Q27" s="21" t="str"/>
      <x:c r="R27" s="21" t="str"/>
      <x:c r="S27" s="21" t="str"/>
      <x:c r="T27" s="21" t="str"/>
    </x:row>
    <x:row r="28" ht="42" customHeight="1">
      <x:c r="A28" s="21" t="str"/>
      <x:c r="B28" s="31" t="str"/>
      <x:c r="C28" s="21" t="str"/>
      <x:c r="D28" s="21" t="str"/>
      <x:c r="E28" s="21" t="str"/>
      <x:c r="F28" s="21" t="str"/>
      <x:c r="G28" s="21" t="str"/>
      <x:c r="H28" s="21" t="str"/>
      <x:c r="I28" s="21" t="str"/>
      <x:c r="J28" s="21" t="str"/>
      <x:c r="K28" s="21" t="str"/>
      <x:c r="L28" s="21" t="str"/>
      <x:c r="M28" s="21" t="str"/>
      <x:c r="N28" s="21" t="str"/>
      <x:c r="O28" s="21" t="str"/>
      <x:c r="P28" s="21" t="str"/>
      <x:c r="Q28" s="21" t="str"/>
      <x:c r="R28" s="21" t="str"/>
      <x:c r="S28" s="21" t="str"/>
      <x:c r="T28" s="21" t="str"/>
    </x:row>
    <x:row r="29" ht="42" customHeight="1">
      <x:c r="A29" s="21" t="str"/>
      <x:c r="B29" s="31" t="str"/>
      <x:c r="C29" s="21" t="str"/>
      <x:c r="D29" s="21" t="str"/>
      <x:c r="E29" s="21" t="str"/>
      <x:c r="F29" s="21" t="str"/>
      <x:c r="G29" s="21" t="str"/>
      <x:c r="H29" s="21" t="str"/>
      <x:c r="I29" s="21" t="str"/>
      <x:c r="J29" s="21" t="str"/>
      <x:c r="K29" s="21" t="str"/>
      <x:c r="L29" s="21" t="str"/>
      <x:c r="M29" s="21" t="str"/>
      <x:c r="N29" s="21" t="str"/>
      <x:c r="O29" s="21" t="str"/>
      <x:c r="P29" s="21" t="str"/>
      <x:c r="Q29" s="21" t="str"/>
      <x:c r="R29" s="21" t="str"/>
      <x:c r="S29" s="21" t="str"/>
      <x:c r="T29" s="21" t="str"/>
    </x:row>
    <x:row r="30" ht="42" customHeight="1">
      <x:c r="A30" s="21" t="str"/>
      <x:c r="B30" s="31" t="str"/>
      <x:c r="C30" s="21" t="str"/>
      <x:c r="D30" s="21" t="str"/>
      <x:c r="E30" s="21" t="str"/>
      <x:c r="F30" s="21" t="str"/>
      <x:c r="G30" s="21" t="str"/>
      <x:c r="H30" s="21" t="str"/>
      <x:c r="I30" s="21" t="str"/>
      <x:c r="J30" s="21" t="str"/>
      <x:c r="K30" s="21" t="str"/>
      <x:c r="L30" s="21" t="str"/>
      <x:c r="M30" s="21" t="str"/>
      <x:c r="N30" s="21" t="str"/>
      <x:c r="O30" s="21" t="str"/>
      <x:c r="P30" s="21" t="str"/>
      <x:c r="Q30" s="21" t="str"/>
      <x:c r="R30" s="21" t="str"/>
      <x:c r="S30" s="21" t="str"/>
      <x:c r="T30" s="21" t="str"/>
    </x:row>
    <x:row r="31" ht="42" customHeight="1">
      <x:c r="A31" s="21" t="str"/>
      <x:c r="B31" s="31" t="str"/>
      <x:c r="C31" s="21" t="str"/>
      <x:c r="D31" s="21" t="str"/>
      <x:c r="E31" s="21" t="str"/>
      <x:c r="F31" s="21" t="str"/>
      <x:c r="G31" s="21" t="str"/>
      <x:c r="H31" s="21" t="str"/>
      <x:c r="I31" s="21" t="str"/>
      <x:c r="J31" s="21" t="str"/>
      <x:c r="K31" s="21" t="str"/>
      <x:c r="L31" s="21" t="str"/>
      <x:c r="M31" s="21" t="str"/>
      <x:c r="N31" s="21" t="str"/>
      <x:c r="O31" s="21" t="str"/>
      <x:c r="P31" s="21" t="str"/>
      <x:c r="Q31" s="21" t="str"/>
      <x:c r="R31" s="21" t="str"/>
      <x:c r="S31" s="21" t="str"/>
      <x:c r="T31" s="21" t="str"/>
    </x:row>
    <x:row r="32" ht="42" customHeight="1">
      <x:c r="A32" s="21" t="str"/>
      <x:c r="B32" s="31" t="str"/>
      <x:c r="C32" s="21" t="str"/>
      <x:c r="D32" s="21" t="str"/>
      <x:c r="E32" s="21" t="str"/>
      <x:c r="F32" s="21" t="str"/>
      <x:c r="G32" s="21" t="str"/>
      <x:c r="H32" s="21" t="str"/>
      <x:c r="I32" s="21" t="str"/>
      <x:c r="J32" s="21" t="str"/>
      <x:c r="K32" s="21" t="str"/>
      <x:c r="L32" s="21" t="str"/>
      <x:c r="M32" s="21" t="str"/>
      <x:c r="N32" s="21" t="str"/>
      <x:c r="O32" s="21" t="str"/>
      <x:c r="P32" s="21" t="str"/>
      <x:c r="Q32" s="21" t="str"/>
      <x:c r="R32" s="21" t="str"/>
      <x:c r="S32" s="21" t="str"/>
      <x:c r="T32" s="21" t="str"/>
    </x:row>
    <x:row r="33" ht="42" customHeight="1">
      <x:c r="A33" s="21" t="str"/>
      <x:c r="B33" s="31" t="str"/>
      <x:c r="C33" s="21" t="str"/>
      <x:c r="D33" s="21" t="str"/>
      <x:c r="E33" s="21" t="str"/>
      <x:c r="F33" s="21" t="str"/>
      <x:c r="G33" s="21" t="str"/>
      <x:c r="H33" s="21" t="str"/>
      <x:c r="I33" s="21" t="str"/>
      <x:c r="J33" s="21" t="str"/>
      <x:c r="K33" s="21" t="str"/>
      <x:c r="L33" s="21" t="str"/>
      <x:c r="M33" s="21" t="str"/>
      <x:c r="N33" s="21" t="str"/>
      <x:c r="O33" s="21" t="str"/>
      <x:c r="P33" s="21" t="str"/>
      <x:c r="Q33" s="21" t="str"/>
      <x:c r="R33" s="21" t="str"/>
      <x:c r="S33" s="21" t="str"/>
      <x:c r="T33" s="21" t="str"/>
    </x:row>
    <x:row r="34" ht="42" customHeight="1">
      <x:c r="A34" s="21" t="str"/>
      <x:c r="B34" s="31" t="str"/>
      <x:c r="C34" s="21" t="str"/>
      <x:c r="D34" s="21" t="str"/>
      <x:c r="E34" s="21" t="str"/>
      <x:c r="F34" s="21" t="str"/>
      <x:c r="G34" s="21" t="str"/>
      <x:c r="H34" s="21" t="str"/>
      <x:c r="I34" s="21" t="str"/>
      <x:c r="J34" s="21" t="str"/>
      <x:c r="K34" s="21" t="str"/>
      <x:c r="L34" s="21" t="str"/>
      <x:c r="M34" s="21" t="str"/>
      <x:c r="N34" s="21" t="str"/>
      <x:c r="O34" s="21" t="str"/>
      <x:c r="P34" s="21" t="str"/>
      <x:c r="Q34" s="21" t="str"/>
      <x:c r="R34" s="21" t="str"/>
      <x:c r="S34" s="21" t="str"/>
      <x:c r="T34" s="21" t="str"/>
    </x:row>
    <x:row r="35" ht="42" customHeight="1">
      <x:c r="A35" s="21" t="str"/>
      <x:c r="B35" s="31" t="str"/>
      <x:c r="C35" s="21" t="str"/>
      <x:c r="D35" s="21" t="str"/>
      <x:c r="E35" s="21" t="str"/>
      <x:c r="F35" s="21" t="str"/>
      <x:c r="G35" s="21" t="str"/>
      <x:c r="H35" s="21" t="str"/>
      <x:c r="I35" s="21" t="str"/>
      <x:c r="J35" s="21" t="str"/>
      <x:c r="K35" s="21" t="str"/>
      <x:c r="L35" s="21" t="str"/>
      <x:c r="M35" s="21" t="str"/>
      <x:c r="N35" s="21" t="str"/>
      <x:c r="O35" s="21" t="str"/>
      <x:c r="P35" s="21" t="str"/>
      <x:c r="Q35" s="21" t="str"/>
      <x:c r="R35" s="21" t="str"/>
      <x:c r="S35" s="21" t="str"/>
      <x:c r="T35" s="21" t="str"/>
    </x:row>
    <x:row r="36" ht="42" customHeight="1">
      <x:c r="A36" s="21" t="str"/>
      <x:c r="B36" s="31" t="str"/>
      <x:c r="C36" s="21" t="str"/>
      <x:c r="D36" s="21" t="str"/>
      <x:c r="E36" s="21" t="str"/>
      <x:c r="F36" s="21" t="str"/>
      <x:c r="G36" s="21" t="str"/>
      <x:c r="H36" s="21" t="str"/>
      <x:c r="I36" s="21" t="str"/>
      <x:c r="J36" s="21" t="str"/>
      <x:c r="K36" s="21" t="str"/>
      <x:c r="L36" s="21" t="str"/>
      <x:c r="M36" s="21" t="str"/>
      <x:c r="N36" s="21" t="str"/>
      <x:c r="O36" s="21" t="str"/>
      <x:c r="P36" s="21" t="str"/>
      <x:c r="Q36" s="21" t="str"/>
      <x:c r="R36" s="21" t="str"/>
      <x:c r="S36" s="21" t="str"/>
      <x:c r="T36" s="21" t="str"/>
    </x:row>
    <x:row r="37" ht="42" customHeight="1">
      <x:c r="A37" s="21" t="str"/>
      <x:c r="B37" s="31" t="str"/>
      <x:c r="C37" s="21" t="str"/>
      <x:c r="D37" s="21" t="str"/>
      <x:c r="E37" s="21" t="str"/>
      <x:c r="F37" s="21" t="str"/>
      <x:c r="G37" s="21" t="str"/>
      <x:c r="H37" s="21" t="str"/>
      <x:c r="I37" s="21" t="str"/>
      <x:c r="J37" s="21" t="str"/>
      <x:c r="K37" s="21" t="str"/>
      <x:c r="L37" s="21" t="str"/>
      <x:c r="M37" s="21" t="str"/>
      <x:c r="N37" s="21" t="str"/>
      <x:c r="O37" s="21" t="str"/>
      <x:c r="P37" s="21" t="str"/>
      <x:c r="Q37" s="21" t="str"/>
      <x:c r="R37" s="21" t="str"/>
      <x:c r="S37" s="21" t="str"/>
      <x:c r="T37" s="21" t="str"/>
    </x:row>
    <x:row r="38" ht="42" customHeight="1">
      <x:c r="A38" s="21" t="str"/>
      <x:c r="B38" s="31" t="str"/>
      <x:c r="C38" s="21" t="str"/>
      <x:c r="D38" s="21" t="str"/>
      <x:c r="E38" s="21" t="str"/>
      <x:c r="F38" s="21" t="str"/>
      <x:c r="G38" s="21" t="str"/>
      <x:c r="H38" s="21" t="str"/>
      <x:c r="I38" s="21" t="str"/>
      <x:c r="J38" s="21" t="str"/>
      <x:c r="K38" s="21" t="str"/>
      <x:c r="L38" s="21" t="str"/>
      <x:c r="M38" s="21" t="str"/>
      <x:c r="N38" s="21" t="str"/>
      <x:c r="O38" s="21" t="str"/>
      <x:c r="P38" s="21" t="str"/>
      <x:c r="Q38" s="21" t="str"/>
      <x:c r="R38" s="21" t="str"/>
      <x:c r="S38" s="21" t="str"/>
      <x:c r="T38" s="21" t="str"/>
    </x:row>
    <x:row r="39" ht="42" customHeight="1">
      <x:c r="A39" s="21" t="str"/>
      <x:c r="B39" s="31" t="str"/>
      <x:c r="C39" s="21" t="str"/>
      <x:c r="D39" s="21" t="str"/>
      <x:c r="E39" s="21" t="str"/>
      <x:c r="F39" s="21" t="str"/>
      <x:c r="G39" s="21" t="str"/>
      <x:c r="H39" s="21" t="str"/>
      <x:c r="I39" s="21" t="str"/>
      <x:c r="J39" s="21" t="str"/>
      <x:c r="K39" s="21" t="str"/>
      <x:c r="L39" s="21" t="str"/>
      <x:c r="M39" s="21" t="str"/>
      <x:c r="N39" s="21" t="str"/>
      <x:c r="O39" s="21" t="str"/>
      <x:c r="P39" s="21" t="str"/>
      <x:c r="Q39" s="21" t="str"/>
      <x:c r="R39" s="21" t="str"/>
      <x:c r="S39" s="21" t="str"/>
      <x:c r="T39" s="21" t="str"/>
    </x:row>
    <x:row r="40" ht="42" customHeight="1">
      <x:c r="A40" s="21" t="str"/>
      <x:c r="B40" s="31" t="str"/>
      <x:c r="C40" s="21" t="str"/>
      <x:c r="D40" s="21" t="str"/>
      <x:c r="E40" s="21" t="str"/>
      <x:c r="F40" s="21" t="str"/>
      <x:c r="G40" s="21" t="str"/>
      <x:c r="H40" s="21" t="str"/>
      <x:c r="I40" s="21" t="str"/>
      <x:c r="J40" s="21" t="str"/>
      <x:c r="K40" s="21" t="str"/>
      <x:c r="L40" s="21" t="str"/>
      <x:c r="M40" s="21" t="str"/>
      <x:c r="N40" s="21" t="str"/>
      <x:c r="O40" s="21" t="str"/>
      <x:c r="P40" s="21" t="str"/>
      <x:c r="Q40" s="21" t="str"/>
      <x:c r="R40" s="21" t="str"/>
      <x:c r="S40" s="21" t="str"/>
      <x:c r="T40" s="21" t="str"/>
    </x:row>
    <x:row r="41" ht="42" customHeight="1">
      <x:c r="A41" s="21" t="str"/>
      <x:c r="B41" s="31" t="str"/>
      <x:c r="C41" s="21" t="str"/>
      <x:c r="D41" s="21" t="str"/>
      <x:c r="E41" s="21" t="str"/>
      <x:c r="F41" s="21" t="str"/>
      <x:c r="G41" s="21" t="str"/>
      <x:c r="H41" s="21" t="str"/>
      <x:c r="I41" s="21" t="str"/>
      <x:c r="J41" s="21" t="str"/>
      <x:c r="K41" s="21" t="str"/>
      <x:c r="L41" s="21" t="str"/>
      <x:c r="M41" s="21" t="str"/>
      <x:c r="N41" s="21" t="str"/>
      <x:c r="O41" s="21" t="str"/>
      <x:c r="P41" s="21" t="str"/>
      <x:c r="Q41" s="21" t="str"/>
      <x:c r="R41" s="21" t="str"/>
      <x:c r="S41" s="21" t="str"/>
      <x:c r="T41" s="21" t="str"/>
    </x:row>
    <x:row r="42" ht="42" customHeight="1">
      <x:c r="A42" s="21" t="str"/>
      <x:c r="B42" s="31" t="str"/>
      <x:c r="C42" s="21" t="str"/>
      <x:c r="D42" s="21" t="str"/>
      <x:c r="E42" s="21" t="str"/>
      <x:c r="F42" s="21" t="str"/>
      <x:c r="G42" s="21" t="str"/>
      <x:c r="H42" s="21" t="str"/>
      <x:c r="I42" s="21" t="str"/>
      <x:c r="J42" s="21" t="str"/>
      <x:c r="K42" s="21" t="str"/>
      <x:c r="L42" s="21" t="str"/>
      <x:c r="M42" s="21" t="str"/>
      <x:c r="N42" s="21" t="str"/>
      <x:c r="O42" s="21" t="str"/>
      <x:c r="P42" s="21" t="str"/>
      <x:c r="Q42" s="21" t="str"/>
      <x:c r="R42" s="21" t="str"/>
      <x:c r="S42" s="21" t="str"/>
      <x:c r="T42" s="21" t="str"/>
    </x:row>
    <x:row r="43" ht="42" customHeight="1">
      <x:c r="A43" s="21" t="str"/>
      <x:c r="B43" s="31" t="str"/>
      <x:c r="C43" s="21" t="str"/>
      <x:c r="D43" s="21" t="str"/>
      <x:c r="E43" s="21" t="str"/>
      <x:c r="F43" s="21" t="str"/>
      <x:c r="G43" s="21" t="str"/>
      <x:c r="H43" s="21" t="str"/>
      <x:c r="I43" s="21" t="str"/>
      <x:c r="J43" s="21" t="str"/>
      <x:c r="K43" s="21" t="str"/>
      <x:c r="L43" s="21" t="str"/>
      <x:c r="M43" s="21" t="str"/>
      <x:c r="N43" s="21" t="str"/>
      <x:c r="O43" s="21" t="str"/>
      <x:c r="P43" s="21" t="str"/>
      <x:c r="Q43" s="21" t="str"/>
      <x:c r="R43" s="21" t="str"/>
      <x:c r="S43" s="21" t="str"/>
      <x:c r="T43" s="21" t="str"/>
    </x:row>
    <x:row r="44" ht="42" customHeight="1">
      <x:c r="A44" s="21" t="str"/>
      <x:c r="B44" s="31" t="str"/>
      <x:c r="C44" s="21" t="str"/>
      <x:c r="D44" s="21" t="str"/>
      <x:c r="E44" s="21" t="str"/>
      <x:c r="F44" s="21" t="str"/>
      <x:c r="G44" s="21" t="str"/>
      <x:c r="H44" s="21" t="str"/>
      <x:c r="I44" s="21" t="str"/>
      <x:c r="J44" s="21" t="str"/>
      <x:c r="K44" s="21" t="str"/>
      <x:c r="L44" s="21" t="str"/>
      <x:c r="M44" s="21" t="str"/>
      <x:c r="N44" s="21" t="str"/>
      <x:c r="O44" s="21" t="str"/>
      <x:c r="P44" s="21" t="str"/>
      <x:c r="Q44" s="21" t="str"/>
      <x:c r="R44" s="21" t="str"/>
      <x:c r="S44" s="21" t="str"/>
      <x:c r="T44" s="21" t="str"/>
    </x:row>
    <x:row r="45" ht="42" customHeight="1">
      <x:c r="A45" s="21" t="str"/>
      <x:c r="B45" s="31" t="str"/>
      <x:c r="C45" s="21" t="str"/>
      <x:c r="D45" s="21" t="str"/>
      <x:c r="E45" s="21" t="str"/>
      <x:c r="F45" s="21" t="str"/>
      <x:c r="G45" s="21" t="str"/>
      <x:c r="H45" s="21" t="str"/>
      <x:c r="I45" s="21" t="str"/>
      <x:c r="J45" s="21" t="str"/>
      <x:c r="K45" s="21" t="str"/>
      <x:c r="L45" s="21" t="str"/>
      <x:c r="M45" s="21" t="str"/>
      <x:c r="N45" s="21" t="str"/>
      <x:c r="O45" s="21" t="str"/>
      <x:c r="P45" s="21" t="str"/>
      <x:c r="Q45" s="21" t="str"/>
      <x:c r="R45" s="21" t="str"/>
      <x:c r="S45" s="21" t="str"/>
      <x:c r="T45" s="21" t="str"/>
    </x:row>
    <x:row r="46" ht="42" customHeight="1">
      <x:c r="A46" s="21" t="str"/>
      <x:c r="B46" s="31" t="str"/>
      <x:c r="C46" s="21" t="str"/>
      <x:c r="D46" s="21" t="str"/>
      <x:c r="E46" s="21" t="str"/>
      <x:c r="F46" s="21" t="str"/>
      <x:c r="G46" s="21" t="str"/>
      <x:c r="H46" s="21" t="str"/>
      <x:c r="I46" s="21" t="str"/>
      <x:c r="J46" s="21" t="str"/>
      <x:c r="K46" s="21" t="str"/>
      <x:c r="L46" s="21" t="str"/>
      <x:c r="M46" s="21" t="str"/>
      <x:c r="N46" s="21" t="str"/>
      <x:c r="O46" s="21" t="str"/>
      <x:c r="P46" s="21" t="str"/>
      <x:c r="Q46" s="21" t="str"/>
      <x:c r="R46" s="21" t="str"/>
      <x:c r="S46" s="21" t="str"/>
      <x:c r="T46" s="21" t="str"/>
    </x:row>
    <x:row r="47" ht="42" customHeight="1">
      <x:c r="A47" s="21" t="str"/>
      <x:c r="B47" s="31" t="str"/>
      <x:c r="C47" s="21" t="str"/>
      <x:c r="D47" s="21" t="str"/>
      <x:c r="E47" s="21" t="str"/>
      <x:c r="F47" s="21" t="str"/>
      <x:c r="G47" s="21" t="str"/>
      <x:c r="H47" s="21" t="str"/>
      <x:c r="I47" s="21" t="str"/>
      <x:c r="J47" s="21" t="str"/>
      <x:c r="K47" s="21" t="str"/>
      <x:c r="L47" s="21" t="str"/>
      <x:c r="M47" s="21" t="str"/>
      <x:c r="N47" s="21" t="str"/>
      <x:c r="O47" s="21" t="str"/>
      <x:c r="P47" s="21" t="str"/>
      <x:c r="Q47" s="21" t="str"/>
      <x:c r="R47" s="21" t="str"/>
      <x:c r="S47" s="21" t="str"/>
      <x:c r="T47" s="21" t="str"/>
    </x:row>
    <x:row r="48" ht="42" customHeight="1">
      <x:c r="A48" s="21" t="str"/>
      <x:c r="B48" s="31" t="str"/>
      <x:c r="C48" s="21" t="str"/>
      <x:c r="D48" s="21" t="str"/>
      <x:c r="E48" s="21" t="str"/>
      <x:c r="F48" s="21" t="str"/>
      <x:c r="G48" s="21" t="str"/>
      <x:c r="H48" s="21" t="str"/>
      <x:c r="I48" s="21" t="str"/>
      <x:c r="J48" s="21" t="str"/>
      <x:c r="K48" s="21" t="str"/>
      <x:c r="L48" s="21" t="str"/>
      <x:c r="M48" s="21" t="str"/>
      <x:c r="N48" s="21" t="str"/>
      <x:c r="O48" s="21" t="str"/>
      <x:c r="P48" s="21" t="str"/>
      <x:c r="Q48" s="21" t="str"/>
      <x:c r="R48" s="21" t="str"/>
      <x:c r="S48" s="21" t="str"/>
      <x:c r="T48" s="21" t="str"/>
    </x:row>
    <x:row r="49" ht="42" customHeight="1">
      <x:c r="A49" s="21" t="str"/>
      <x:c r="B49" s="31" t="str"/>
      <x:c r="C49" s="21" t="str"/>
      <x:c r="D49" s="21" t="str"/>
      <x:c r="E49" s="21" t="str"/>
      <x:c r="F49" s="21" t="str"/>
      <x:c r="G49" s="21" t="str"/>
      <x:c r="H49" s="21" t="str"/>
      <x:c r="I49" s="21" t="str"/>
      <x:c r="J49" s="21" t="str"/>
      <x:c r="K49" s="21" t="str"/>
      <x:c r="L49" s="21" t="str"/>
      <x:c r="M49" s="21" t="str"/>
      <x:c r="N49" s="21" t="str"/>
      <x:c r="O49" s="21" t="str"/>
      <x:c r="P49" s="21" t="str"/>
      <x:c r="Q49" s="21" t="str"/>
      <x:c r="R49" s="21" t="str"/>
      <x:c r="S49" s="21" t="str"/>
      <x:c r="T49" s="21" t="str"/>
    </x:row>
    <x:row r="50" ht="42" customHeight="1">
      <x:c r="A50" s="21" t="str"/>
      <x:c r="B50" s="31" t="str"/>
      <x:c r="C50" s="21" t="str"/>
      <x:c r="D50" s="21" t="str"/>
      <x:c r="E50" s="21" t="str"/>
      <x:c r="F50" s="21" t="str"/>
      <x:c r="G50" s="21" t="str"/>
      <x:c r="H50" s="21" t="str"/>
      <x:c r="I50" s="21" t="str"/>
      <x:c r="J50" s="21" t="str"/>
      <x:c r="K50" s="21" t="str"/>
      <x:c r="L50" s="21" t="str"/>
      <x:c r="M50" s="21" t="str"/>
      <x:c r="N50" s="21" t="str"/>
      <x:c r="O50" s="21" t="str"/>
      <x:c r="P50" s="21" t="str"/>
      <x:c r="Q50" s="21" t="str"/>
      <x:c r="R50" s="21" t="str"/>
      <x:c r="S50" s="21" t="str"/>
      <x:c r="T50" s="21" t="str"/>
    </x:row>
    <x:row r="51" ht="42" customHeight="1">
      <x:c r="A51" s="21" t="str"/>
      <x:c r="B51" s="31" t="str"/>
      <x:c r="C51" s="21" t="str"/>
      <x:c r="D51" s="21" t="str"/>
      <x:c r="E51" s="21" t="str"/>
      <x:c r="F51" s="21" t="str"/>
      <x:c r="G51" s="21" t="str"/>
      <x:c r="H51" s="21" t="str"/>
      <x:c r="I51" s="21" t="str"/>
      <x:c r="J51" s="21" t="str"/>
      <x:c r="K51" s="21" t="str"/>
      <x:c r="L51" s="21" t="str"/>
      <x:c r="M51" s="21" t="str"/>
      <x:c r="N51" s="21" t="str"/>
      <x:c r="O51" s="21" t="str"/>
      <x:c r="P51" s="21" t="str"/>
      <x:c r="Q51" s="21" t="str"/>
      <x:c r="R51" s="21" t="str"/>
      <x:c r="S51" s="21" t="str"/>
      <x:c r="T51" s="21" t="str"/>
    </x:row>
    <x:row r="52" ht="42" customHeight="1">
      <x:c r="A52" s="21" t="str"/>
      <x:c r="B52" s="31" t="str"/>
      <x:c r="C52" s="21" t="str"/>
      <x:c r="D52" s="21" t="str"/>
      <x:c r="E52" s="21" t="str"/>
      <x:c r="F52" s="21" t="str"/>
      <x:c r="G52" s="21" t="str"/>
      <x:c r="H52" s="21" t="str"/>
      <x:c r="I52" s="21" t="str"/>
      <x:c r="J52" s="21" t="str"/>
      <x:c r="K52" s="21" t="str"/>
      <x:c r="L52" s="21" t="str"/>
      <x:c r="M52" s="21" t="str"/>
      <x:c r="N52" s="21" t="str"/>
      <x:c r="O52" s="21" t="str"/>
      <x:c r="P52" s="21" t="str"/>
      <x:c r="Q52" s="21" t="str"/>
      <x:c r="R52" s="21" t="str"/>
      <x:c r="S52" s="21" t="str"/>
      <x:c r="T52" s="21" t="str"/>
    </x:row>
    <x:row r="53" ht="42" customHeight="1">
      <x:c r="A53" s="21" t="str"/>
      <x:c r="B53" s="31" t="str"/>
      <x:c r="C53" s="21" t="str"/>
      <x:c r="D53" s="21" t="str"/>
      <x:c r="E53" s="21" t="str"/>
      <x:c r="F53" s="21" t="str"/>
      <x:c r="G53" s="21" t="str"/>
      <x:c r="H53" s="21" t="str"/>
      <x:c r="I53" s="21" t="str"/>
      <x:c r="J53" s="21" t="str"/>
      <x:c r="K53" s="21" t="str"/>
      <x:c r="L53" s="21" t="str"/>
      <x:c r="M53" s="21" t="str"/>
      <x:c r="N53" s="21" t="str"/>
      <x:c r="O53" s="21" t="str"/>
      <x:c r="P53" s="21" t="str"/>
      <x:c r="Q53" s="21" t="str"/>
      <x:c r="R53" s="21" t="str"/>
      <x:c r="S53" s="21" t="str"/>
      <x:c r="T53" s="21" t="str"/>
    </x:row>
    <x:row r="54" ht="42" customHeight="1">
      <x:c r="A54" s="21" t="str"/>
      <x:c r="B54" s="31" t="str"/>
      <x:c r="C54" s="21" t="str"/>
      <x:c r="D54" s="21" t="str"/>
      <x:c r="E54" s="21" t="str"/>
      <x:c r="F54" s="21" t="str"/>
      <x:c r="G54" s="21" t="str"/>
      <x:c r="H54" s="21" t="str"/>
      <x:c r="I54" s="21" t="str"/>
      <x:c r="J54" s="21" t="str"/>
      <x:c r="K54" s="21" t="str"/>
      <x:c r="L54" s="21" t="str"/>
      <x:c r="M54" s="21" t="str"/>
      <x:c r="N54" s="21" t="str"/>
      <x:c r="O54" s="21" t="str"/>
      <x:c r="P54" s="21" t="str"/>
      <x:c r="Q54" s="21" t="str"/>
      <x:c r="R54" s="21" t="str"/>
      <x:c r="S54" s="21" t="str"/>
      <x:c r="T54" s="21" t="str"/>
    </x:row>
  </x:sheetData>
  <x:mergeCells>
    <x:mergeCell ref="A1:T2"/>
    <x:mergeCell ref="A3:T3"/>
  </x:mergeCells>
  <x:conditionalFormatting sqref="J5:J54">
    <x:cfRule type="containsText" dxfId="23" priority="1" operator="containsText" text="成功"/>
    <x:cfRule type="containsText" dxfId="24" priority="2" operator="containsText" text="部分完成"/>
    <x:cfRule type="containsText" dxfId="25" priority="3" operator="containsText" text="失败"/>
  </x:conditionalFormatting>
  <x:dataValidations count="4">
    <x:dataValidation type="list" sqref="D5:D54">
      <x:formula1>'口径与下拉'!$V$9:$V$12</x:formula1>
    </x:dataValidation>
    <x:dataValidation type="list" sqref="J5:J54">
      <x:formula1>'口径与下拉'!$X$9:$X$11</x:formula1>
    </x:dataValidation>
    <x:dataValidation type="list" sqref="N5:N54">
      <x:formula1>"否,是,部分"</x:formula1>
    </x:dataValidation>
    <x:dataValidation type="whole" operator="between" sqref="Q5:Q54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5c487c48d1d4e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6" hidden="0" customWidth="1"/>
    <x:col min="5" max="5" width="30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14" hidden="0" customWidth="1"/>
    <x:col min="15" max="15" width="28" hidden="0" customWidth="1"/>
    <x:col min="16" max="16" width="32" hidden="0" customWidth="1"/>
    <x:col min="17" max="17" width="28" hidden="0" customWidth="1"/>
  </x:cols>
  <x:sheetData>
    <x:row r="1" ht="34" customHeight="1">
      <x:c r="A1" s="4" t="str">
        <x:v>数值、经济与节奏记录</x:v>
      </x:c>
      <x:c r="B1" s="4" t="str">
        <x:v>数值、经济与节奏记录</x:v>
      </x:c>
      <x:c r="C1" s="4" t="str">
        <x:v>数值、经济与节奏记录</x:v>
      </x:c>
      <x:c r="D1" s="4" t="str">
        <x:v>数值、经济与节奏记录</x:v>
      </x:c>
      <x:c r="E1" s="4" t="str">
        <x:v>数值、经济与节奏记录</x:v>
      </x:c>
      <x:c r="F1" s="4" t="str">
        <x:v>数值、经济与节奏记录</x:v>
      </x:c>
      <x:c r="G1" s="4" t="str">
        <x:v>数值、经济与节奏记录</x:v>
      </x:c>
      <x:c r="H1" s="4" t="str">
        <x:v>数值、经济与节奏记录</x:v>
      </x:c>
      <x:c r="I1" s="4" t="str">
        <x:v>数值、经济与节奏记录</x:v>
      </x:c>
      <x:c r="J1" s="4" t="str">
        <x:v>数值、经济与节奏记录</x:v>
      </x:c>
      <x:c r="K1" s="4" t="str">
        <x:v>数值、经济与节奏记录</x:v>
      </x:c>
      <x:c r="L1" s="4" t="str">
        <x:v>数值、经济与节奏记录</x:v>
      </x:c>
      <x:c r="M1" s="4" t="str">
        <x:v>数值、经济与节奏记录</x:v>
      </x:c>
      <x:c r="N1" s="4" t="str">
        <x:v>数值、经济与节奏记录</x:v>
      </x:c>
      <x:c r="O1" s="4" t="str">
        <x:v>数值、经济与节奏记录</x:v>
      </x:c>
      <x:c r="P1" s="4" t="str">
        <x:v>数值、经济与节奏记录</x:v>
      </x:c>
      <x:c r="Q1" s="4" t="str">
        <x:v>数值、经济与节奏记录</x:v>
      </x:c>
    </x:row>
    <x:row r="2" ht="34" customHeight="1">
      <x:c r="A2" s="4" t="str">
        <x:v>数值、经济与节奏记录</x:v>
      </x:c>
      <x:c r="B2" s="4" t="str">
        <x:v>数值、经济与节奏记录</x:v>
      </x:c>
      <x:c r="C2" s="4" t="str">
        <x:v>数值、经济与节奏记录</x:v>
      </x:c>
      <x:c r="D2" s="4" t="str">
        <x:v>数值、经济与节奏记录</x:v>
      </x:c>
      <x:c r="E2" s="4" t="str">
        <x:v>数值、经济与节奏记录</x:v>
      </x:c>
      <x:c r="F2" s="4" t="str">
        <x:v>数值、经济与节奏记录</x:v>
      </x:c>
      <x:c r="G2" s="4" t="str">
        <x:v>数值、经济与节奏记录</x:v>
      </x:c>
      <x:c r="H2" s="4" t="str">
        <x:v>数值、经济与节奏记录</x:v>
      </x:c>
      <x:c r="I2" s="4" t="str">
        <x:v>数值、经济与节奏记录</x:v>
      </x:c>
      <x:c r="J2" s="4" t="str">
        <x:v>数值、经济与节奏记录</x:v>
      </x:c>
      <x:c r="K2" s="4" t="str">
        <x:v>数值、经济与节奏记录</x:v>
      </x:c>
      <x:c r="L2" s="4" t="str">
        <x:v>数值、经济与节奏记录</x:v>
      </x:c>
      <x:c r="M2" s="4" t="str">
        <x:v>数值、经济与节奏记录</x:v>
      </x:c>
      <x:c r="N2" s="4" t="str">
        <x:v>数值、经济与节奏记录</x:v>
      </x:c>
      <x:c r="O2" s="4" t="str">
        <x:v>数值、经济与节奏记录</x:v>
      </x:c>
      <x:c r="P2" s="4" t="str">
        <x:v>数值、经济与节奏记录</x:v>
      </x:c>
      <x:c r="Q2" s="4" t="str">
        <x:v>数值、经济与节奏记录</x:v>
      </x:c>
    </x:row>
    <x:row r="3" ht="34" customHeight="1">
      <x:c r="A3" s="8" t="str">
        <x:v>优先记录首30分钟、1–7日与30日目标：灵力净消耗、暖玉收支、订单完成时长、棋盘满格率、修缮耗时、岗位/离线产出占比、小游戏奖励和卡点。</x:v>
      </x:c>
      <x:c r="B3" s="8" t="str">
        <x:v>优先记录首30分钟、1–7日与30日目标：灵力净消耗、暖玉收支、订单完成时长、棋盘满格率、修缮耗时、岗位/离线产出占比、小游戏奖励和卡点。</x:v>
      </x:c>
      <x:c r="C3" s="8" t="str">
        <x:v>优先记录首30分钟、1–7日与30日目标：灵力净消耗、暖玉收支、订单完成时长、棋盘满格率、修缮耗时、岗位/离线产出占比、小游戏奖励和卡点。</x:v>
      </x:c>
      <x:c r="D3" s="8" t="str">
        <x:v>优先记录首30分钟、1–7日与30日目标：灵力净消耗、暖玉收支、订单完成时长、棋盘满格率、修缮耗时、岗位/离线产出占比、小游戏奖励和卡点。</x:v>
      </x:c>
      <x:c r="E3" s="8" t="str">
        <x:v>优先记录首30分钟、1–7日与30日目标：灵力净消耗、暖玉收支、订单完成时长、棋盘满格率、修缮耗时、岗位/离线产出占比、小游戏奖励和卡点。</x:v>
      </x:c>
      <x:c r="F3" s="8" t="str">
        <x:v>优先记录首30分钟、1–7日与30日目标：灵力净消耗、暖玉收支、订单完成时长、棋盘满格率、修缮耗时、岗位/离线产出占比、小游戏奖励和卡点。</x:v>
      </x:c>
      <x:c r="G3" s="8" t="str">
        <x:v>优先记录首30分钟、1–7日与30日目标：灵力净消耗、暖玉收支、订单完成时长、棋盘满格率、修缮耗时、岗位/离线产出占比、小游戏奖励和卡点。</x:v>
      </x:c>
      <x:c r="H3" s="8" t="str">
        <x:v>优先记录首30分钟、1–7日与30日目标：灵力净消耗、暖玉收支、订单完成时长、棋盘满格率、修缮耗时、岗位/离线产出占比、小游戏奖励和卡点。</x:v>
      </x:c>
      <x:c r="I3" s="8" t="str">
        <x:v>优先记录首30分钟、1–7日与30日目标：灵力净消耗、暖玉收支、订单完成时长、棋盘满格率、修缮耗时、岗位/离线产出占比、小游戏奖励和卡点。</x:v>
      </x:c>
      <x:c r="J3" s="8" t="str">
        <x:v>优先记录首30分钟、1–7日与30日目标：灵力净消耗、暖玉收支、订单完成时长、棋盘满格率、修缮耗时、岗位/离线产出占比、小游戏奖励和卡点。</x:v>
      </x:c>
      <x:c r="K3" s="8" t="str">
        <x:v>优先记录首30分钟、1–7日与30日目标：灵力净消耗、暖玉收支、订单完成时长、棋盘满格率、修缮耗时、岗位/离线产出占比、小游戏奖励和卡点。</x:v>
      </x:c>
      <x:c r="L3" s="8" t="str">
        <x:v>优先记录首30分钟、1–7日与30日目标：灵力净消耗、暖玉收支、订单完成时长、棋盘满格率、修缮耗时、岗位/离线产出占比、小游戏奖励和卡点。</x:v>
      </x:c>
      <x:c r="M3" s="8" t="str">
        <x:v>优先记录首30分钟、1–7日与30日目标：灵力净消耗、暖玉收支、订单完成时长、棋盘满格率、修缮耗时、岗位/离线产出占比、小游戏奖励和卡点。</x:v>
      </x:c>
      <x:c r="N3" s="8" t="str">
        <x:v>优先记录首30分钟、1–7日与30日目标：灵力净消耗、暖玉收支、订单完成时长、棋盘满格率、修缮耗时、岗位/离线产出占比、小游戏奖励和卡点。</x:v>
      </x:c>
      <x:c r="O3" s="8" t="str">
        <x:v>优先记录首30分钟、1–7日与30日目标：灵力净消耗、暖玉收支、订单完成时长、棋盘满格率、修缮耗时、岗位/离线产出占比、小游戏奖励和卡点。</x:v>
      </x:c>
      <x:c r="P3" s="8" t="str">
        <x:v>优先记录首30分钟、1–7日与30日目标：灵力净消耗、暖玉收支、订单完成时长、棋盘满格率、修缮耗时、岗位/离线产出占比、小游戏奖励和卡点。</x:v>
      </x:c>
      <x:c r="Q3" s="8" t="str">
        <x:v>优先记录首30分钟、1–7日与30日目标：灵力净消耗、暖玉收支、订单完成时长、棋盘满格率、修缮耗时、岗位/离线产出占比、小游戏奖励和卡点。</x:v>
      </x:c>
    </x:row>
    <x:row r="4" ht="32" customHeight="1">
      <x:c r="A4" s="14" t="str">
        <x:v>测试ID</x:v>
      </x:c>
      <x:c r="B4" s="14" t="str">
        <x:v>日期</x:v>
      </x:c>
      <x:c r="C4" s="14" t="str">
        <x:v>构建/版本</x:v>
      </x:c>
      <x:c r="D4" s="14" t="str">
        <x:v>系统</x:v>
      </x:c>
      <x:c r="E4" s="14" t="str">
        <x:v>指标</x:v>
      </x:c>
      <x:c r="F4" s="14" t="str">
        <x:v>单位</x:v>
      </x:c>
      <x:c r="G4" s="14" t="str">
        <x:v>玩家阶段</x:v>
      </x:c>
      <x:c r="H4" s="14" t="str">
        <x:v>目标下限</x:v>
      </x:c>
      <x:c r="I4" s="14" t="str">
        <x:v>目标上限</x:v>
      </x:c>
      <x:c r="J4" s="14" t="str">
        <x:v>当前配置</x:v>
      </x:c>
      <x:c r="K4" s="14" t="str">
        <x:v>实测值</x:v>
      </x:c>
      <x:c r="L4" s="14" t="str">
        <x:v>样本量</x:v>
      </x:c>
      <x:c r="M4" s="14" t="str">
        <x:v>实测-配置</x:v>
      </x:c>
      <x:c r="N4" s="14" t="str">
        <x:v>结论</x:v>
      </x:c>
      <x:c r="O4" s="14" t="str">
        <x:v>玩家影响</x:v>
      </x:c>
      <x:c r="P4" s="14" t="str">
        <x:v>调整建议</x:v>
      </x:c>
      <x:c r="Q4" s="14" t="str">
        <x:v>证据/数据来源</x:v>
      </x:c>
    </x:row>
    <x:row r="5" ht="38" customHeight="1">
      <x:c r="A5" s="20" t="str">
        <x:v>BAL-001</x:v>
      </x:c>
      <x:c r="B5" s="30" t="str"/>
      <x:c r="C5" s="20" t="str"/>
      <x:c r="D5" s="20" t="str">
        <x:v>灵阵</x:v>
      </x:c>
      <x:c r="E5" s="20" t="str">
        <x:v>首局首次有效合并耗时</x:v>
      </x:c>
      <x:c r="F5" s="20" t="str">
        <x:v>秒</x:v>
      </x:c>
      <x:c r="G5" s="20" t="str">
        <x:v>首局</x:v>
      </x:c>
      <x:c r="H5" s="32" t="n">
        <x:v>15</x:v>
      </x:c>
      <x:c r="I5" s="32" t="n">
        <x:v>90</x:v>
      </x:c>
      <x:c r="J5" s="32" t="str"/>
      <x:c r="K5" s="32" t="str"/>
      <x:c r="L5" s="32" t="n">
        <x:v>1</x:v>
      </x:c>
      <x:c r="M5" s="32" t="str">
        <x:f>IF(OR(J5="",K5=""),"",K5-J5)</x:f>
      </x:c>
      <x:c r="N5" s="20" t="str"/>
      <x:c r="O5" s="20" t="str"/>
      <x:c r="P5" s="20" t="str"/>
      <x:c r="Q5" s="20" t="str"/>
    </x:row>
    <x:row r="6" ht="38" customHeight="1">
      <x:c r="A6" s="21" t="str">
        <x:v>BAL-002</x:v>
      </x:c>
      <x:c r="B6" s="31" t="str"/>
      <x:c r="C6" s="21" t="str"/>
      <x:c r="D6" s="21" t="str">
        <x:v>首局</x:v>
      </x:c>
      <x:c r="E6" s="21" t="str">
        <x:v>山门首次修缮完成耗时</x:v>
      </x:c>
      <x:c r="F6" s="21" t="str">
        <x:v>分钟</x:v>
      </x:c>
      <x:c r="G6" s="21" t="str">
        <x:v>首局</x:v>
      </x:c>
      <x:c r="H6" s="33" t="n">
        <x:v>3</x:v>
      </x:c>
      <x:c r="I6" s="33" t="n">
        <x:v>12</x:v>
      </x:c>
      <x:c r="J6" s="33" t="str"/>
      <x:c r="K6" s="33" t="str"/>
      <x:c r="L6" s="33" t="n">
        <x:v>1</x:v>
      </x:c>
      <x:c r="M6" s="33" t="str">
        <x:f>IF(OR(J6="",K6=""),"",K6-J6)</x:f>
      </x:c>
      <x:c r="N6" s="21" t="str"/>
      <x:c r="O6" s="21" t="str"/>
      <x:c r="P6" s="21" t="str"/>
      <x:c r="Q6" s="21" t="str"/>
    </x:row>
    <x:row r="7" ht="38" customHeight="1">
      <x:c r="A7" s="21" t="str">
        <x:v>BAL-003</x:v>
      </x:c>
      <x:c r="B7" s="31" t="str"/>
      <x:c r="C7" s="21" t="str"/>
      <x:c r="D7" s="21" t="str">
        <x:v>核心循环</x:v>
      </x:c>
      <x:c r="E7" s="21" t="str">
        <x:v>一次有意义闭环时长</x:v>
      </x:c>
      <x:c r="F7" s="21" t="str">
        <x:v>分钟</x:v>
      </x:c>
      <x:c r="G7" s="21" t="str">
        <x:v>首日</x:v>
      </x:c>
      <x:c r="H7" s="33" t="n">
        <x:v>5</x:v>
      </x:c>
      <x:c r="I7" s="33" t="n">
        <x:v>15</x:v>
      </x:c>
      <x:c r="J7" s="33" t="str"/>
      <x:c r="K7" s="33" t="str"/>
      <x:c r="L7" s="33" t="n">
        <x:v>3</x:v>
      </x:c>
      <x:c r="M7" s="33" t="str">
        <x:f>IF(OR(J7="",K7=""),"",K7-J7)</x:f>
      </x:c>
      <x:c r="N7" s="21" t="str"/>
      <x:c r="O7" s="21" t="str"/>
      <x:c r="P7" s="21" t="str"/>
      <x:c r="Q7" s="21" t="str"/>
    </x:row>
    <x:row r="8" ht="38" customHeight="1">
      <x:c r="A8" s="21" t="str">
        <x:v>BAL-004</x:v>
      </x:c>
      <x:c r="B8" s="31" t="str"/>
      <x:c r="C8" s="21" t="str"/>
      <x:c r="D8" s="21" t="str">
        <x:v>灵阵</x:v>
      </x:c>
      <x:c r="E8" s="21" t="str">
        <x:v>常规会话满盘触发次数</x:v>
      </x:c>
      <x:c r="F8" s="21" t="str">
        <x:v>次/15分钟</x:v>
      </x:c>
      <x:c r="G8" s="21" t="str">
        <x:v>首周</x:v>
      </x:c>
      <x:c r="H8" s="33" t="n">
        <x:v>0</x:v>
      </x:c>
      <x:c r="I8" s="33" t="n">
        <x:v>2</x:v>
      </x:c>
      <x:c r="J8" s="33" t="str"/>
      <x:c r="K8" s="33" t="str"/>
      <x:c r="L8" s="33" t="n">
        <x:v>3</x:v>
      </x:c>
      <x:c r="M8" s="33" t="str">
        <x:f>IF(OR(J8="",K8=""),"",K8-J8)</x:f>
      </x:c>
      <x:c r="N8" s="21" t="str"/>
      <x:c r="O8" s="21" t="str"/>
      <x:c r="P8" s="21" t="str"/>
      <x:c r="Q8" s="21" t="str"/>
    </x:row>
    <x:row r="9" ht="38" customHeight="1">
      <x:c r="A9" s="21" t="str">
        <x:v>BAL-005</x:v>
      </x:c>
      <x:c r="B9" s="31" t="str"/>
      <x:c r="C9" s="21" t="str"/>
      <x:c r="D9" s="21" t="str">
        <x:v>经济</x:v>
      </x:c>
      <x:c r="E9" s="21" t="str">
        <x:v>暖玉净收入</x:v>
      </x:c>
      <x:c r="F9" s="21" t="str">
        <x:v>暖玉/日</x:v>
      </x:c>
      <x:c r="G9" s="21" t="str">
        <x:v>首周</x:v>
      </x:c>
      <x:c r="H9" s="33" t="str"/>
      <x:c r="I9" s="33" t="str"/>
      <x:c r="J9" s="33" t="str"/>
      <x:c r="K9" s="33" t="str"/>
      <x:c r="L9" s="33" t="n">
        <x:v>7</x:v>
      </x:c>
      <x:c r="M9" s="33" t="str">
        <x:f>IF(OR(J9="",K9=""),"",K9-J9)</x:f>
      </x:c>
      <x:c r="N9" s="21" t="str"/>
      <x:c r="O9" s="21" t="str"/>
      <x:c r="P9" s="21" t="str"/>
      <x:c r="Q9" s="21" t="str"/>
    </x:row>
    <x:row r="10" ht="38" customHeight="1">
      <x:c r="A10" s="21" t="str">
        <x:v>BAL-006</x:v>
      </x:c>
      <x:c r="B10" s="31" t="str"/>
      <x:c r="C10" s="21" t="str"/>
      <x:c r="D10" s="21" t="str">
        <x:v>灵力</x:v>
      </x:c>
      <x:c r="E10" s="21" t="str">
        <x:v>有效操作数</x:v>
      </x:c>
      <x:c r="F10" s="21" t="str">
        <x:v>次/满灵力</x:v>
      </x:c>
      <x:c r="G10" s="21" t="str">
        <x:v>首周</x:v>
      </x:c>
      <x:c r="H10" s="33" t="str"/>
      <x:c r="I10" s="33" t="str"/>
      <x:c r="J10" s="33" t="str"/>
      <x:c r="K10" s="33" t="str"/>
      <x:c r="L10" s="33" t="n">
        <x:v>5</x:v>
      </x:c>
      <x:c r="M10" s="33" t="str">
        <x:f>IF(OR(J10="",K10=""),"",K10-J10)</x:f>
      </x:c>
      <x:c r="N10" s="21" t="str"/>
      <x:c r="O10" s="21" t="str"/>
      <x:c r="P10" s="21" t="str"/>
      <x:c r="Q10" s="21" t="str"/>
    </x:row>
    <x:row r="11" ht="38" customHeight="1">
      <x:c r="A11" s="21" t="str">
        <x:v>BAL-007</x:v>
      </x:c>
      <x:c r="B11" s="31" t="str"/>
      <x:c r="C11" s="21" t="str"/>
      <x:c r="D11" s="21" t="str">
        <x:v>订单</x:v>
      </x:c>
      <x:c r="E11" s="21" t="str">
        <x:v>低阶订单完成时长</x:v>
      </x:c>
      <x:c r="F11" s="21" t="str">
        <x:v>分钟</x:v>
      </x:c>
      <x:c r="G11" s="21" t="str">
        <x:v>首周</x:v>
      </x:c>
      <x:c r="H11" s="33" t="n">
        <x:v>1</x:v>
      </x:c>
      <x:c r="I11" s="33" t="n">
        <x:v>5</x:v>
      </x:c>
      <x:c r="J11" s="33" t="str"/>
      <x:c r="K11" s="33" t="str"/>
      <x:c r="L11" s="33" t="n">
        <x:v>10</x:v>
      </x:c>
      <x:c r="M11" s="33" t="str">
        <x:f>IF(OR(J11="",K11=""),"",K11-J11)</x:f>
      </x:c>
      <x:c r="N11" s="21" t="str"/>
      <x:c r="O11" s="21" t="str"/>
      <x:c r="P11" s="21" t="str"/>
      <x:c r="Q11" s="21" t="str"/>
    </x:row>
    <x:row r="12" ht="38" customHeight="1">
      <x:c r="A12" s="21" t="str">
        <x:v>BAL-008</x:v>
      </x:c>
      <x:c r="B12" s="31" t="str"/>
      <x:c r="C12" s="21" t="str"/>
      <x:c r="D12" s="21" t="str">
        <x:v>宗门</x:v>
      </x:c>
      <x:c r="E12" s="21" t="str">
        <x:v>单阶段修缮可达时长</x:v>
      </x:c>
      <x:c r="F12" s="21" t="str">
        <x:v>会话</x:v>
      </x:c>
      <x:c r="G12" s="21" t="str">
        <x:v>中期</x:v>
      </x:c>
      <x:c r="H12" s="33" t="n">
        <x:v>1</x:v>
      </x:c>
      <x:c r="I12" s="33" t="n">
        <x:v>5</x:v>
      </x:c>
      <x:c r="J12" s="33" t="str"/>
      <x:c r="K12" s="33" t="str"/>
      <x:c r="L12" s="33" t="n">
        <x:v>5</x:v>
      </x:c>
      <x:c r="M12" s="33" t="str">
        <x:f>IF(OR(J12="",K12=""),"",K12-J12)</x:f>
      </x:c>
      <x:c r="N12" s="21" t="str"/>
      <x:c r="O12" s="21" t="str"/>
      <x:c r="P12" s="21" t="str"/>
      <x:c r="Q12" s="21" t="str"/>
    </x:row>
    <x:row r="13" ht="38" customHeight="1">
      <x:c r="A13" s="21" t="str">
        <x:v>BAL-009</x:v>
      </x:c>
      <x:c r="B13" s="31" t="str"/>
      <x:c r="C13" s="21" t="str"/>
      <x:c r="D13" s="21" t="str">
        <x:v>岗位/离线</x:v>
      </x:c>
      <x:c r="E13" s="21" t="str">
        <x:v>被动产出占总收入</x:v>
      </x:c>
      <x:c r="F13" s="21" t="str">
        <x:v>%</x:v>
      </x:c>
      <x:c r="G13" s="21" t="str">
        <x:v>中期</x:v>
      </x:c>
      <x:c r="H13" s="33" t="n">
        <x:v>0.15</x:v>
      </x:c>
      <x:c r="I13" s="33" t="n">
        <x:v>0.45</x:v>
      </x:c>
      <x:c r="J13" s="33" t="str"/>
      <x:c r="K13" s="33" t="str"/>
      <x:c r="L13" s="33" t="n">
        <x:v>7</x:v>
      </x:c>
      <x:c r="M13" s="33" t="str">
        <x:f>IF(OR(J13="",K13=""),"",K13-J13)</x:f>
      </x:c>
      <x:c r="N13" s="21" t="str"/>
      <x:c r="O13" s="21" t="str"/>
      <x:c r="P13" s="21" t="str"/>
      <x:c r="Q13" s="21" t="str"/>
    </x:row>
    <x:row r="14" ht="38" customHeight="1">
      <x:c r="A14" s="21" t="str">
        <x:v>BAL-010</x:v>
      </x:c>
      <x:c r="B14" s="31" t="str"/>
      <x:c r="C14" s="21" t="str"/>
      <x:c r="D14" s="21" t="str">
        <x:v>整体进度</x:v>
      </x:c>
      <x:c r="E14" s="21" t="str">
        <x:v>主要陪伴目标完成天数</x:v>
      </x:c>
      <x:c r="F14" s="21" t="str">
        <x:v>不同领取日</x:v>
      </x:c>
      <x:c r="G14" s="21" t="str">
        <x:v>长期</x:v>
      </x:c>
      <x:c r="H14" s="33" t="n">
        <x:v>20</x:v>
      </x:c>
      <x:c r="I14" s="33" t="n">
        <x:v>40</x:v>
      </x:c>
      <x:c r="J14" s="33" t="n">
        <x:v>30</x:v>
      </x:c>
      <x:c r="K14" s="33" t="str"/>
      <x:c r="L14" s="33" t="n">
        <x:v>3</x:v>
      </x:c>
      <x:c r="M14" s="33" t="str">
        <x:f>IF(OR(J14="",K14=""),"",K14-J14)</x:f>
      </x:c>
      <x:c r="N14" s="21" t="str"/>
      <x:c r="O14" s="21" t="str"/>
      <x:c r="P14" s="21" t="str"/>
      <x:c r="Q14" s="21" t="str"/>
    </x:row>
    <x:row r="15" ht="38" customHeight="1">
      <x:c r="A15" s="21" t="str"/>
      <x:c r="B15" s="31" t="str"/>
      <x:c r="C15" s="21" t="str"/>
      <x:c r="D15" s="21" t="str"/>
      <x:c r="E15" s="21" t="str"/>
      <x:c r="F15" s="21" t="str"/>
      <x:c r="G15" s="21" t="str"/>
      <x:c r="H15" s="33" t="str"/>
      <x:c r="I15" s="33" t="str"/>
      <x:c r="J15" s="33" t="str"/>
      <x:c r="K15" s="33" t="str"/>
      <x:c r="L15" s="33" t="str"/>
      <x:c r="M15" s="33" t="str">
        <x:f>IF(OR(J15="",K15=""),"",K15-J15)</x:f>
      </x:c>
      <x:c r="N15" s="21" t="str"/>
      <x:c r="O15" s="21" t="str"/>
      <x:c r="P15" s="21" t="str"/>
      <x:c r="Q15" s="21" t="str"/>
    </x:row>
    <x:row r="16" ht="38" customHeight="1">
      <x:c r="A16" s="21" t="str"/>
      <x:c r="B16" s="31" t="str"/>
      <x:c r="C16" s="21" t="str"/>
      <x:c r="D16" s="21" t="str"/>
      <x:c r="E16" s="21" t="str"/>
      <x:c r="F16" s="21" t="str"/>
      <x:c r="G16" s="21" t="str"/>
      <x:c r="H16" s="33" t="str"/>
      <x:c r="I16" s="33" t="str"/>
      <x:c r="J16" s="33" t="str"/>
      <x:c r="K16" s="33" t="str"/>
      <x:c r="L16" s="33" t="str"/>
      <x:c r="M16" s="33" t="str">
        <x:f>IF(OR(J16="",K16=""),"",K16-J16)</x:f>
      </x:c>
      <x:c r="N16" s="21" t="str"/>
      <x:c r="O16" s="21" t="str"/>
      <x:c r="P16" s="21" t="str"/>
      <x:c r="Q16" s="21" t="str"/>
    </x:row>
    <x:row r="17" ht="38" customHeight="1">
      <x:c r="A17" s="21" t="str"/>
      <x:c r="B17" s="31" t="str"/>
      <x:c r="C17" s="21" t="str"/>
      <x:c r="D17" s="21" t="str"/>
      <x:c r="E17" s="21" t="str"/>
      <x:c r="F17" s="21" t="str"/>
      <x:c r="G17" s="21" t="str"/>
      <x:c r="H17" s="33" t="str"/>
      <x:c r="I17" s="33" t="str"/>
      <x:c r="J17" s="33" t="str"/>
      <x:c r="K17" s="33" t="str"/>
      <x:c r="L17" s="33" t="str"/>
      <x:c r="M17" s="33" t="str">
        <x:f>IF(OR(J17="",K17=""),"",K17-J17)</x:f>
      </x:c>
      <x:c r="N17" s="21" t="str"/>
      <x:c r="O17" s="21" t="str"/>
      <x:c r="P17" s="21" t="str"/>
      <x:c r="Q17" s="21" t="str"/>
    </x:row>
    <x:row r="18" ht="38" customHeight="1">
      <x:c r="A18" s="21" t="str"/>
      <x:c r="B18" s="31" t="str"/>
      <x:c r="C18" s="21" t="str"/>
      <x:c r="D18" s="21" t="str"/>
      <x:c r="E18" s="21" t="str"/>
      <x:c r="F18" s="21" t="str"/>
      <x:c r="G18" s="21" t="str"/>
      <x:c r="H18" s="33" t="str"/>
      <x:c r="I18" s="33" t="str"/>
      <x:c r="J18" s="33" t="str"/>
      <x:c r="K18" s="33" t="str"/>
      <x:c r="L18" s="33" t="str"/>
      <x:c r="M18" s="33" t="str">
        <x:f>IF(OR(J18="",K18=""),"",K18-J18)</x:f>
      </x:c>
      <x:c r="N18" s="21" t="str"/>
      <x:c r="O18" s="21" t="str"/>
      <x:c r="P18" s="21" t="str"/>
      <x:c r="Q18" s="21" t="str"/>
    </x:row>
    <x:row r="19" ht="38" customHeight="1">
      <x:c r="A19" s="21" t="str"/>
      <x:c r="B19" s="31" t="str"/>
      <x:c r="C19" s="21" t="str"/>
      <x:c r="D19" s="21" t="str"/>
      <x:c r="E19" s="21" t="str"/>
      <x:c r="F19" s="21" t="str"/>
      <x:c r="G19" s="21" t="str"/>
      <x:c r="H19" s="33" t="str"/>
      <x:c r="I19" s="33" t="str"/>
      <x:c r="J19" s="33" t="str"/>
      <x:c r="K19" s="33" t="str"/>
      <x:c r="L19" s="33" t="str"/>
      <x:c r="M19" s="33" t="str">
        <x:f>IF(OR(J19="",K19=""),"",K19-J19)</x:f>
      </x:c>
      <x:c r="N19" s="21" t="str"/>
      <x:c r="O19" s="21" t="str"/>
      <x:c r="P19" s="21" t="str"/>
      <x:c r="Q19" s="21" t="str"/>
    </x:row>
    <x:row r="20" ht="38" customHeight="1">
      <x:c r="A20" s="21" t="str"/>
      <x:c r="B20" s="31" t="str"/>
      <x:c r="C20" s="21" t="str"/>
      <x:c r="D20" s="21" t="str"/>
      <x:c r="E20" s="21" t="str"/>
      <x:c r="F20" s="21" t="str"/>
      <x:c r="G20" s="21" t="str"/>
      <x:c r="H20" s="33" t="str"/>
      <x:c r="I20" s="33" t="str"/>
      <x:c r="J20" s="33" t="str"/>
      <x:c r="K20" s="33" t="str"/>
      <x:c r="L20" s="33" t="str"/>
      <x:c r="M20" s="33" t="str">
        <x:f>IF(OR(J20="",K20=""),"",K20-J20)</x:f>
      </x:c>
      <x:c r="N20" s="21" t="str"/>
      <x:c r="O20" s="21" t="str"/>
      <x:c r="P20" s="21" t="str"/>
      <x:c r="Q20" s="21" t="str"/>
    </x:row>
    <x:row r="21" ht="38" customHeight="1">
      <x:c r="A21" s="21" t="str"/>
      <x:c r="B21" s="31" t="str"/>
      <x:c r="C21" s="21" t="str"/>
      <x:c r="D21" s="21" t="str"/>
      <x:c r="E21" s="21" t="str"/>
      <x:c r="F21" s="21" t="str"/>
      <x:c r="G21" s="21" t="str"/>
      <x:c r="H21" s="33" t="str"/>
      <x:c r="I21" s="33" t="str"/>
      <x:c r="J21" s="33" t="str"/>
      <x:c r="K21" s="33" t="str"/>
      <x:c r="L21" s="33" t="str"/>
      <x:c r="M21" s="33" t="str">
        <x:f>IF(OR(J21="",K21=""),"",K21-J21)</x:f>
      </x:c>
      <x:c r="N21" s="21" t="str"/>
      <x:c r="O21" s="21" t="str"/>
      <x:c r="P21" s="21" t="str"/>
      <x:c r="Q21" s="21" t="str"/>
    </x:row>
    <x:row r="22" ht="38" customHeight="1">
      <x:c r="A22" s="21" t="str"/>
      <x:c r="B22" s="31" t="str"/>
      <x:c r="C22" s="21" t="str"/>
      <x:c r="D22" s="21" t="str"/>
      <x:c r="E22" s="21" t="str"/>
      <x:c r="F22" s="21" t="str"/>
      <x:c r="G22" s="21" t="str"/>
      <x:c r="H22" s="33" t="str"/>
      <x:c r="I22" s="33" t="str"/>
      <x:c r="J22" s="33" t="str"/>
      <x:c r="K22" s="33" t="str"/>
      <x:c r="L22" s="33" t="str"/>
      <x:c r="M22" s="33" t="str">
        <x:f>IF(OR(J22="",K22=""),"",K22-J22)</x:f>
      </x:c>
      <x:c r="N22" s="21" t="str"/>
      <x:c r="O22" s="21" t="str"/>
      <x:c r="P22" s="21" t="str"/>
      <x:c r="Q22" s="21" t="str"/>
    </x:row>
    <x:row r="23" ht="38" customHeight="1">
      <x:c r="A23" s="21" t="str"/>
      <x:c r="B23" s="31" t="str"/>
      <x:c r="C23" s="21" t="str"/>
      <x:c r="D23" s="21" t="str"/>
      <x:c r="E23" s="21" t="str"/>
      <x:c r="F23" s="21" t="str"/>
      <x:c r="G23" s="21" t="str"/>
      <x:c r="H23" s="33" t="str"/>
      <x:c r="I23" s="33" t="str"/>
      <x:c r="J23" s="33" t="str"/>
      <x:c r="K23" s="33" t="str"/>
      <x:c r="L23" s="33" t="str"/>
      <x:c r="M23" s="33" t="str">
        <x:f>IF(OR(J23="",K23=""),"",K23-J23)</x:f>
      </x:c>
      <x:c r="N23" s="21" t="str"/>
      <x:c r="O23" s="21" t="str"/>
      <x:c r="P23" s="21" t="str"/>
      <x:c r="Q23" s="21" t="str"/>
    </x:row>
    <x:row r="24" ht="38" customHeight="1">
      <x:c r="A24" s="21" t="str"/>
      <x:c r="B24" s="31" t="str"/>
      <x:c r="C24" s="21" t="str"/>
      <x:c r="D24" s="21" t="str"/>
      <x:c r="E24" s="21" t="str"/>
      <x:c r="F24" s="21" t="str"/>
      <x:c r="G24" s="21" t="str"/>
      <x:c r="H24" s="33" t="str"/>
      <x:c r="I24" s="33" t="str"/>
      <x:c r="J24" s="33" t="str"/>
      <x:c r="K24" s="33" t="str"/>
      <x:c r="L24" s="33" t="str"/>
      <x:c r="M24" s="33" t="str">
        <x:f>IF(OR(J24="",K24=""),"",K24-J24)</x:f>
      </x:c>
      <x:c r="N24" s="21" t="str"/>
      <x:c r="O24" s="21" t="str"/>
      <x:c r="P24" s="21" t="str"/>
      <x:c r="Q24" s="21" t="str"/>
    </x:row>
    <x:row r="25" ht="38" customHeight="1">
      <x:c r="A25" s="21" t="str"/>
      <x:c r="B25" s="31" t="str"/>
      <x:c r="C25" s="21" t="str"/>
      <x:c r="D25" s="21" t="str"/>
      <x:c r="E25" s="21" t="str"/>
      <x:c r="F25" s="21" t="str"/>
      <x:c r="G25" s="21" t="str"/>
      <x:c r="H25" s="33" t="str"/>
      <x:c r="I25" s="33" t="str"/>
      <x:c r="J25" s="33" t="str"/>
      <x:c r="K25" s="33" t="str"/>
      <x:c r="L25" s="33" t="str"/>
      <x:c r="M25" s="33" t="str">
        <x:f>IF(OR(J25="",K25=""),"",K25-J25)</x:f>
      </x:c>
      <x:c r="N25" s="21" t="str"/>
      <x:c r="O25" s="21" t="str"/>
      <x:c r="P25" s="21" t="str"/>
      <x:c r="Q25" s="21" t="str"/>
    </x:row>
    <x:row r="26" ht="38" customHeight="1">
      <x:c r="A26" s="21" t="str"/>
      <x:c r="B26" s="31" t="str"/>
      <x:c r="C26" s="21" t="str"/>
      <x:c r="D26" s="21" t="str"/>
      <x:c r="E26" s="21" t="str"/>
      <x:c r="F26" s="21" t="str"/>
      <x:c r="G26" s="21" t="str"/>
      <x:c r="H26" s="33" t="str"/>
      <x:c r="I26" s="33" t="str"/>
      <x:c r="J26" s="33" t="str"/>
      <x:c r="K26" s="33" t="str"/>
      <x:c r="L26" s="33" t="str"/>
      <x:c r="M26" s="33" t="str">
        <x:f>IF(OR(J26="",K26=""),"",K26-J26)</x:f>
      </x:c>
      <x:c r="N26" s="21" t="str"/>
      <x:c r="O26" s="21" t="str"/>
      <x:c r="P26" s="21" t="str"/>
      <x:c r="Q26" s="21" t="str"/>
    </x:row>
    <x:row r="27" ht="38" customHeight="1">
      <x:c r="A27" s="21" t="str"/>
      <x:c r="B27" s="31" t="str"/>
      <x:c r="C27" s="21" t="str"/>
      <x:c r="D27" s="21" t="str"/>
      <x:c r="E27" s="21" t="str"/>
      <x:c r="F27" s="21" t="str"/>
      <x:c r="G27" s="21" t="str"/>
      <x:c r="H27" s="33" t="str"/>
      <x:c r="I27" s="33" t="str"/>
      <x:c r="J27" s="33" t="str"/>
      <x:c r="K27" s="33" t="str"/>
      <x:c r="L27" s="33" t="str"/>
      <x:c r="M27" s="33" t="str">
        <x:f>IF(OR(J27="",K27=""),"",K27-J27)</x:f>
      </x:c>
      <x:c r="N27" s="21" t="str"/>
      <x:c r="O27" s="21" t="str"/>
      <x:c r="P27" s="21" t="str"/>
      <x:c r="Q27" s="21" t="str"/>
    </x:row>
    <x:row r="28" ht="38" customHeight="1">
      <x:c r="A28" s="21" t="str"/>
      <x:c r="B28" s="31" t="str"/>
      <x:c r="C28" s="21" t="str"/>
      <x:c r="D28" s="21" t="str"/>
      <x:c r="E28" s="21" t="str"/>
      <x:c r="F28" s="21" t="str"/>
      <x:c r="G28" s="21" t="str"/>
      <x:c r="H28" s="33" t="str"/>
      <x:c r="I28" s="33" t="str"/>
      <x:c r="J28" s="33" t="str"/>
      <x:c r="K28" s="33" t="str"/>
      <x:c r="L28" s="33" t="str"/>
      <x:c r="M28" s="33" t="str">
        <x:f>IF(OR(J28="",K28=""),"",K28-J28)</x:f>
      </x:c>
      <x:c r="N28" s="21" t="str"/>
      <x:c r="O28" s="21" t="str"/>
      <x:c r="P28" s="21" t="str"/>
      <x:c r="Q28" s="21" t="str"/>
    </x:row>
    <x:row r="29" ht="38" customHeight="1">
      <x:c r="A29" s="21" t="str"/>
      <x:c r="B29" s="31" t="str"/>
      <x:c r="C29" s="21" t="str"/>
      <x:c r="D29" s="21" t="str"/>
      <x:c r="E29" s="21" t="str"/>
      <x:c r="F29" s="21" t="str"/>
      <x:c r="G29" s="21" t="str"/>
      <x:c r="H29" s="33" t="str"/>
      <x:c r="I29" s="33" t="str"/>
      <x:c r="J29" s="33" t="str"/>
      <x:c r="K29" s="33" t="str"/>
      <x:c r="L29" s="33" t="str"/>
      <x:c r="M29" s="33" t="str">
        <x:f>IF(OR(J29="",K29=""),"",K29-J29)</x:f>
      </x:c>
      <x:c r="N29" s="21" t="str"/>
      <x:c r="O29" s="21" t="str"/>
      <x:c r="P29" s="21" t="str"/>
      <x:c r="Q29" s="21" t="str"/>
    </x:row>
    <x:row r="30" ht="38" customHeight="1">
      <x:c r="A30" s="21" t="str"/>
      <x:c r="B30" s="31" t="str"/>
      <x:c r="C30" s="21" t="str"/>
      <x:c r="D30" s="21" t="str"/>
      <x:c r="E30" s="21" t="str"/>
      <x:c r="F30" s="21" t="str"/>
      <x:c r="G30" s="21" t="str"/>
      <x:c r="H30" s="33" t="str"/>
      <x:c r="I30" s="33" t="str"/>
      <x:c r="J30" s="33" t="str"/>
      <x:c r="K30" s="33" t="str"/>
      <x:c r="L30" s="33" t="str"/>
      <x:c r="M30" s="33" t="str">
        <x:f>IF(OR(J30="",K30=""),"",K30-J30)</x:f>
      </x:c>
      <x:c r="N30" s="21" t="str"/>
      <x:c r="O30" s="21" t="str"/>
      <x:c r="P30" s="21" t="str"/>
      <x:c r="Q30" s="21" t="str"/>
    </x:row>
    <x:row r="31" ht="38" customHeight="1">
      <x:c r="A31" s="21" t="str"/>
      <x:c r="B31" s="31" t="str"/>
      <x:c r="C31" s="21" t="str"/>
      <x:c r="D31" s="21" t="str"/>
      <x:c r="E31" s="21" t="str"/>
      <x:c r="F31" s="21" t="str"/>
      <x:c r="G31" s="21" t="str"/>
      <x:c r="H31" s="33" t="str"/>
      <x:c r="I31" s="33" t="str"/>
      <x:c r="J31" s="33" t="str"/>
      <x:c r="K31" s="33" t="str"/>
      <x:c r="L31" s="33" t="str"/>
      <x:c r="M31" s="33" t="str">
        <x:f>IF(OR(J31="",K31=""),"",K31-J31)</x:f>
      </x:c>
      <x:c r="N31" s="21" t="str"/>
      <x:c r="O31" s="21" t="str"/>
      <x:c r="P31" s="21" t="str"/>
      <x:c r="Q31" s="21" t="str"/>
    </x:row>
    <x:row r="32" ht="38" customHeight="1">
      <x:c r="A32" s="21" t="str"/>
      <x:c r="B32" s="31" t="str"/>
      <x:c r="C32" s="21" t="str"/>
      <x:c r="D32" s="21" t="str"/>
      <x:c r="E32" s="21" t="str"/>
      <x:c r="F32" s="21" t="str"/>
      <x:c r="G32" s="21" t="str"/>
      <x:c r="H32" s="33" t="str"/>
      <x:c r="I32" s="33" t="str"/>
      <x:c r="J32" s="33" t="str"/>
      <x:c r="K32" s="33" t="str"/>
      <x:c r="L32" s="33" t="str"/>
      <x:c r="M32" s="33" t="str">
        <x:f>IF(OR(J32="",K32=""),"",K32-J32)</x:f>
      </x:c>
      <x:c r="N32" s="21" t="str"/>
      <x:c r="O32" s="21" t="str"/>
      <x:c r="P32" s="21" t="str"/>
      <x:c r="Q32" s="21" t="str"/>
    </x:row>
    <x:row r="33" ht="38" customHeight="1">
      <x:c r="A33" s="21" t="str"/>
      <x:c r="B33" s="31" t="str"/>
      <x:c r="C33" s="21" t="str"/>
      <x:c r="D33" s="21" t="str"/>
      <x:c r="E33" s="21" t="str"/>
      <x:c r="F33" s="21" t="str"/>
      <x:c r="G33" s="21" t="str"/>
      <x:c r="H33" s="33" t="str"/>
      <x:c r="I33" s="33" t="str"/>
      <x:c r="J33" s="33" t="str"/>
      <x:c r="K33" s="33" t="str"/>
      <x:c r="L33" s="33" t="str"/>
      <x:c r="M33" s="33" t="str">
        <x:f>IF(OR(J33="",K33=""),"",K33-J33)</x:f>
      </x:c>
      <x:c r="N33" s="21" t="str"/>
      <x:c r="O33" s="21" t="str"/>
      <x:c r="P33" s="21" t="str"/>
      <x:c r="Q33" s="21" t="str"/>
    </x:row>
    <x:row r="34" ht="38" customHeight="1">
      <x:c r="A34" s="21" t="str"/>
      <x:c r="B34" s="31" t="str"/>
      <x:c r="C34" s="21" t="str"/>
      <x:c r="D34" s="21" t="str"/>
      <x:c r="E34" s="21" t="str"/>
      <x:c r="F34" s="21" t="str"/>
      <x:c r="G34" s="21" t="str"/>
      <x:c r="H34" s="33" t="str"/>
      <x:c r="I34" s="33" t="str"/>
      <x:c r="J34" s="33" t="str"/>
      <x:c r="K34" s="33" t="str"/>
      <x:c r="L34" s="33" t="str"/>
      <x:c r="M34" s="33" t="str">
        <x:f>IF(OR(J34="",K34=""),"",K34-J34)</x:f>
      </x:c>
      <x:c r="N34" s="21" t="str"/>
      <x:c r="O34" s="21" t="str"/>
      <x:c r="P34" s="21" t="str"/>
      <x:c r="Q34" s="21" t="str"/>
    </x:row>
    <x:row r="35" ht="38" customHeight="1">
      <x:c r="A35" s="21" t="str"/>
      <x:c r="B35" s="31" t="str"/>
      <x:c r="C35" s="21" t="str"/>
      <x:c r="D35" s="21" t="str"/>
      <x:c r="E35" s="21" t="str"/>
      <x:c r="F35" s="21" t="str"/>
      <x:c r="G35" s="21" t="str"/>
      <x:c r="H35" s="33" t="str"/>
      <x:c r="I35" s="33" t="str"/>
      <x:c r="J35" s="33" t="str"/>
      <x:c r="K35" s="33" t="str"/>
      <x:c r="L35" s="33" t="str"/>
      <x:c r="M35" s="33" t="str">
        <x:f>IF(OR(J35="",K35=""),"",K35-J35)</x:f>
      </x:c>
      <x:c r="N35" s="21" t="str"/>
      <x:c r="O35" s="21" t="str"/>
      <x:c r="P35" s="21" t="str"/>
      <x:c r="Q35" s="21" t="str"/>
    </x:row>
    <x:row r="36" ht="38" customHeight="1">
      <x:c r="A36" s="21" t="str"/>
      <x:c r="B36" s="31" t="str"/>
      <x:c r="C36" s="21" t="str"/>
      <x:c r="D36" s="21" t="str"/>
      <x:c r="E36" s="21" t="str"/>
      <x:c r="F36" s="21" t="str"/>
      <x:c r="G36" s="21" t="str"/>
      <x:c r="H36" s="33" t="str"/>
      <x:c r="I36" s="33" t="str"/>
      <x:c r="J36" s="33" t="str"/>
      <x:c r="K36" s="33" t="str"/>
      <x:c r="L36" s="33" t="str"/>
      <x:c r="M36" s="33" t="str">
        <x:f>IF(OR(J36="",K36=""),"",K36-J36)</x:f>
      </x:c>
      <x:c r="N36" s="21" t="str"/>
      <x:c r="O36" s="21" t="str"/>
      <x:c r="P36" s="21" t="str"/>
      <x:c r="Q36" s="21" t="str"/>
    </x:row>
    <x:row r="37" ht="38" customHeight="1">
      <x:c r="A37" s="21" t="str"/>
      <x:c r="B37" s="31" t="str"/>
      <x:c r="C37" s="21" t="str"/>
      <x:c r="D37" s="21" t="str"/>
      <x:c r="E37" s="21" t="str"/>
      <x:c r="F37" s="21" t="str"/>
      <x:c r="G37" s="21" t="str"/>
      <x:c r="H37" s="33" t="str"/>
      <x:c r="I37" s="33" t="str"/>
      <x:c r="J37" s="33" t="str"/>
      <x:c r="K37" s="33" t="str"/>
      <x:c r="L37" s="33" t="str"/>
      <x:c r="M37" s="33" t="str">
        <x:f>IF(OR(J37="",K37=""),"",K37-J37)</x:f>
      </x:c>
      <x:c r="N37" s="21" t="str"/>
      <x:c r="O37" s="21" t="str"/>
      <x:c r="P37" s="21" t="str"/>
      <x:c r="Q37" s="21" t="str"/>
    </x:row>
    <x:row r="38" ht="38" customHeight="1">
      <x:c r="A38" s="21" t="str"/>
      <x:c r="B38" s="31" t="str"/>
      <x:c r="C38" s="21" t="str"/>
      <x:c r="D38" s="21" t="str"/>
      <x:c r="E38" s="21" t="str"/>
      <x:c r="F38" s="21" t="str"/>
      <x:c r="G38" s="21" t="str"/>
      <x:c r="H38" s="33" t="str"/>
      <x:c r="I38" s="33" t="str"/>
      <x:c r="J38" s="33" t="str"/>
      <x:c r="K38" s="33" t="str"/>
      <x:c r="L38" s="33" t="str"/>
      <x:c r="M38" s="33" t="str">
        <x:f>IF(OR(J38="",K38=""),"",K38-J38)</x:f>
      </x:c>
      <x:c r="N38" s="21" t="str"/>
      <x:c r="O38" s="21" t="str"/>
      <x:c r="P38" s="21" t="str"/>
      <x:c r="Q38" s="21" t="str"/>
    </x:row>
    <x:row r="39" ht="38" customHeight="1">
      <x:c r="A39" s="21" t="str"/>
      <x:c r="B39" s="31" t="str"/>
      <x:c r="C39" s="21" t="str"/>
      <x:c r="D39" s="21" t="str"/>
      <x:c r="E39" s="21" t="str"/>
      <x:c r="F39" s="21" t="str"/>
      <x:c r="G39" s="21" t="str"/>
      <x:c r="H39" s="33" t="str"/>
      <x:c r="I39" s="33" t="str"/>
      <x:c r="J39" s="33" t="str"/>
      <x:c r="K39" s="33" t="str"/>
      <x:c r="L39" s="33" t="str"/>
      <x:c r="M39" s="33" t="str">
        <x:f>IF(OR(J39="",K39=""),"",K39-J39)</x:f>
      </x:c>
      <x:c r="N39" s="21" t="str"/>
      <x:c r="O39" s="21" t="str"/>
      <x:c r="P39" s="21" t="str"/>
      <x:c r="Q39" s="21" t="str"/>
    </x:row>
    <x:row r="40" ht="38" customHeight="1">
      <x:c r="A40" s="21" t="str"/>
      <x:c r="B40" s="31" t="str"/>
      <x:c r="C40" s="21" t="str"/>
      <x:c r="D40" s="21" t="str"/>
      <x:c r="E40" s="21" t="str"/>
      <x:c r="F40" s="21" t="str"/>
      <x:c r="G40" s="21" t="str"/>
      <x:c r="H40" s="33" t="str"/>
      <x:c r="I40" s="33" t="str"/>
      <x:c r="J40" s="33" t="str"/>
      <x:c r="K40" s="33" t="str"/>
      <x:c r="L40" s="33" t="str"/>
      <x:c r="M40" s="33" t="str">
        <x:f>IF(OR(J40="",K40=""),"",K40-J40)</x:f>
      </x:c>
      <x:c r="N40" s="21" t="str"/>
      <x:c r="O40" s="21" t="str"/>
      <x:c r="P40" s="21" t="str"/>
      <x:c r="Q40" s="21" t="str"/>
    </x:row>
    <x:row r="41" ht="38" customHeight="1">
      <x:c r="A41" s="21" t="str"/>
      <x:c r="B41" s="31" t="str"/>
      <x:c r="C41" s="21" t="str"/>
      <x:c r="D41" s="21" t="str"/>
      <x:c r="E41" s="21" t="str"/>
      <x:c r="F41" s="21" t="str"/>
      <x:c r="G41" s="21" t="str"/>
      <x:c r="H41" s="33" t="str"/>
      <x:c r="I41" s="33" t="str"/>
      <x:c r="J41" s="33" t="str"/>
      <x:c r="K41" s="33" t="str"/>
      <x:c r="L41" s="33" t="str"/>
      <x:c r="M41" s="33" t="str">
        <x:f>IF(OR(J41="",K41=""),"",K41-J41)</x:f>
      </x:c>
      <x:c r="N41" s="21" t="str"/>
      <x:c r="O41" s="21" t="str"/>
      <x:c r="P41" s="21" t="str"/>
      <x:c r="Q41" s="21" t="str"/>
    </x:row>
    <x:row r="42" ht="38" customHeight="1">
      <x:c r="A42" s="21" t="str"/>
      <x:c r="B42" s="31" t="str"/>
      <x:c r="C42" s="21" t="str"/>
      <x:c r="D42" s="21" t="str"/>
      <x:c r="E42" s="21" t="str"/>
      <x:c r="F42" s="21" t="str"/>
      <x:c r="G42" s="21" t="str"/>
      <x:c r="H42" s="33" t="str"/>
      <x:c r="I42" s="33" t="str"/>
      <x:c r="J42" s="33" t="str"/>
      <x:c r="K42" s="33" t="str"/>
      <x:c r="L42" s="33" t="str"/>
      <x:c r="M42" s="33" t="str">
        <x:f>IF(OR(J42="",K42=""),"",K42-J42)</x:f>
      </x:c>
      <x:c r="N42" s="21" t="str"/>
      <x:c r="O42" s="21" t="str"/>
      <x:c r="P42" s="21" t="str"/>
      <x:c r="Q42" s="21" t="str"/>
    </x:row>
    <x:row r="43" ht="38" customHeight="1">
      <x:c r="A43" s="21" t="str"/>
      <x:c r="B43" s="31" t="str"/>
      <x:c r="C43" s="21" t="str"/>
      <x:c r="D43" s="21" t="str"/>
      <x:c r="E43" s="21" t="str"/>
      <x:c r="F43" s="21" t="str"/>
      <x:c r="G43" s="21" t="str"/>
      <x:c r="H43" s="33" t="str"/>
      <x:c r="I43" s="33" t="str"/>
      <x:c r="J43" s="33" t="str"/>
      <x:c r="K43" s="33" t="str"/>
      <x:c r="L43" s="33" t="str"/>
      <x:c r="M43" s="33" t="str">
        <x:f>IF(OR(J43="",K43=""),"",K43-J43)</x:f>
      </x:c>
      <x:c r="N43" s="21" t="str"/>
      <x:c r="O43" s="21" t="str"/>
      <x:c r="P43" s="21" t="str"/>
      <x:c r="Q43" s="21" t="str"/>
    </x:row>
    <x:row r="44" ht="38" customHeight="1">
      <x:c r="A44" s="21" t="str"/>
      <x:c r="B44" s="31" t="str"/>
      <x:c r="C44" s="21" t="str"/>
      <x:c r="D44" s="21" t="str"/>
      <x:c r="E44" s="21" t="str"/>
      <x:c r="F44" s="21" t="str"/>
      <x:c r="G44" s="21" t="str"/>
      <x:c r="H44" s="33" t="str"/>
      <x:c r="I44" s="33" t="str"/>
      <x:c r="J44" s="33" t="str"/>
      <x:c r="K44" s="33" t="str"/>
      <x:c r="L44" s="33" t="str"/>
      <x:c r="M44" s="33" t="str">
        <x:f>IF(OR(J44="",K44=""),"",K44-J44)</x:f>
      </x:c>
      <x:c r="N44" s="21" t="str"/>
      <x:c r="O44" s="21" t="str"/>
      <x:c r="P44" s="21" t="str"/>
      <x:c r="Q44" s="21" t="str"/>
    </x:row>
    <x:row r="45" ht="38" customHeight="1">
      <x:c r="A45" s="21" t="str"/>
      <x:c r="B45" s="31" t="str"/>
      <x:c r="C45" s="21" t="str"/>
      <x:c r="D45" s="21" t="str"/>
      <x:c r="E45" s="21" t="str"/>
      <x:c r="F45" s="21" t="str"/>
      <x:c r="G45" s="21" t="str"/>
      <x:c r="H45" s="33" t="str"/>
      <x:c r="I45" s="33" t="str"/>
      <x:c r="J45" s="33" t="str"/>
      <x:c r="K45" s="33" t="str"/>
      <x:c r="L45" s="33" t="str"/>
      <x:c r="M45" s="33" t="str">
        <x:f>IF(OR(J45="",K45=""),"",K45-J45)</x:f>
      </x:c>
      <x:c r="N45" s="21" t="str"/>
      <x:c r="O45" s="21" t="str"/>
      <x:c r="P45" s="21" t="str"/>
      <x:c r="Q45" s="21" t="str"/>
    </x:row>
    <x:row r="46" ht="38" customHeight="1">
      <x:c r="A46" s="21" t="str"/>
      <x:c r="B46" s="31" t="str"/>
      <x:c r="C46" s="21" t="str"/>
      <x:c r="D46" s="21" t="str"/>
      <x:c r="E46" s="21" t="str"/>
      <x:c r="F46" s="21" t="str"/>
      <x:c r="G46" s="21" t="str"/>
      <x:c r="H46" s="33" t="str"/>
      <x:c r="I46" s="33" t="str"/>
      <x:c r="J46" s="33" t="str"/>
      <x:c r="K46" s="33" t="str"/>
      <x:c r="L46" s="33" t="str"/>
      <x:c r="M46" s="33" t="str">
        <x:f>IF(OR(J46="",K46=""),"",K46-J46)</x:f>
      </x:c>
      <x:c r="N46" s="21" t="str"/>
      <x:c r="O46" s="21" t="str"/>
      <x:c r="P46" s="21" t="str"/>
      <x:c r="Q46" s="21" t="str"/>
    </x:row>
    <x:row r="47" ht="38" customHeight="1">
      <x:c r="A47" s="21" t="str"/>
      <x:c r="B47" s="31" t="str"/>
      <x:c r="C47" s="21" t="str"/>
      <x:c r="D47" s="21" t="str"/>
      <x:c r="E47" s="21" t="str"/>
      <x:c r="F47" s="21" t="str"/>
      <x:c r="G47" s="21" t="str"/>
      <x:c r="H47" s="33" t="str"/>
      <x:c r="I47" s="33" t="str"/>
      <x:c r="J47" s="33" t="str"/>
      <x:c r="K47" s="33" t="str"/>
      <x:c r="L47" s="33" t="str"/>
      <x:c r="M47" s="33" t="str">
        <x:f>IF(OR(J47="",K47=""),"",K47-J47)</x:f>
      </x:c>
      <x:c r="N47" s="21" t="str"/>
      <x:c r="O47" s="21" t="str"/>
      <x:c r="P47" s="21" t="str"/>
      <x:c r="Q47" s="21" t="str"/>
    </x:row>
    <x:row r="48" ht="38" customHeight="1">
      <x:c r="A48" s="21" t="str"/>
      <x:c r="B48" s="31" t="str"/>
      <x:c r="C48" s="21" t="str"/>
      <x:c r="D48" s="21" t="str"/>
      <x:c r="E48" s="21" t="str"/>
      <x:c r="F48" s="21" t="str"/>
      <x:c r="G48" s="21" t="str"/>
      <x:c r="H48" s="33" t="str"/>
      <x:c r="I48" s="33" t="str"/>
      <x:c r="J48" s="33" t="str"/>
      <x:c r="K48" s="33" t="str"/>
      <x:c r="L48" s="33" t="str"/>
      <x:c r="M48" s="33" t="str">
        <x:f>IF(OR(J48="",K48=""),"",K48-J48)</x:f>
      </x:c>
      <x:c r="N48" s="21" t="str"/>
      <x:c r="O48" s="21" t="str"/>
      <x:c r="P48" s="21" t="str"/>
      <x:c r="Q48" s="21" t="str"/>
    </x:row>
    <x:row r="49" ht="38" customHeight="1">
      <x:c r="A49" s="21" t="str"/>
      <x:c r="B49" s="31" t="str"/>
      <x:c r="C49" s="21" t="str"/>
      <x:c r="D49" s="21" t="str"/>
      <x:c r="E49" s="21" t="str"/>
      <x:c r="F49" s="21" t="str"/>
      <x:c r="G49" s="21" t="str"/>
      <x:c r="H49" s="33" t="str"/>
      <x:c r="I49" s="33" t="str"/>
      <x:c r="J49" s="33" t="str"/>
      <x:c r="K49" s="33" t="str"/>
      <x:c r="L49" s="33" t="str"/>
      <x:c r="M49" s="33" t="str">
        <x:f>IF(OR(J49="",K49=""),"",K49-J49)</x:f>
      </x:c>
      <x:c r="N49" s="21" t="str"/>
      <x:c r="O49" s="21" t="str"/>
      <x:c r="P49" s="21" t="str"/>
      <x:c r="Q49" s="21" t="str"/>
    </x:row>
    <x:row r="50" ht="38" customHeight="1">
      <x:c r="A50" s="21" t="str"/>
      <x:c r="B50" s="31" t="str"/>
      <x:c r="C50" s="21" t="str"/>
      <x:c r="D50" s="21" t="str"/>
      <x:c r="E50" s="21" t="str"/>
      <x:c r="F50" s="21" t="str"/>
      <x:c r="G50" s="21" t="str"/>
      <x:c r="H50" s="33" t="str"/>
      <x:c r="I50" s="33" t="str"/>
      <x:c r="J50" s="33" t="str"/>
      <x:c r="K50" s="33" t="str"/>
      <x:c r="L50" s="33" t="str"/>
      <x:c r="M50" s="33" t="str">
        <x:f>IF(OR(J50="",K50=""),"",K50-J50)</x:f>
      </x:c>
      <x:c r="N50" s="21" t="str"/>
      <x:c r="O50" s="21" t="str"/>
      <x:c r="P50" s="21" t="str"/>
      <x:c r="Q50" s="21" t="str"/>
    </x:row>
    <x:row r="51" ht="38" customHeight="1">
      <x:c r="A51" s="21" t="str"/>
      <x:c r="B51" s="31" t="str"/>
      <x:c r="C51" s="21" t="str"/>
      <x:c r="D51" s="21" t="str"/>
      <x:c r="E51" s="21" t="str"/>
      <x:c r="F51" s="21" t="str"/>
      <x:c r="G51" s="21" t="str"/>
      <x:c r="H51" s="33" t="str"/>
      <x:c r="I51" s="33" t="str"/>
      <x:c r="J51" s="33" t="str"/>
      <x:c r="K51" s="33" t="str"/>
      <x:c r="L51" s="33" t="str"/>
      <x:c r="M51" s="33" t="str">
        <x:f>IF(OR(J51="",K51=""),"",K51-J51)</x:f>
      </x:c>
      <x:c r="N51" s="21" t="str"/>
      <x:c r="O51" s="21" t="str"/>
      <x:c r="P51" s="21" t="str"/>
      <x:c r="Q51" s="21" t="str"/>
    </x:row>
    <x:row r="52" ht="38" customHeight="1">
      <x:c r="A52" s="21" t="str"/>
      <x:c r="B52" s="31" t="str"/>
      <x:c r="C52" s="21" t="str"/>
      <x:c r="D52" s="21" t="str"/>
      <x:c r="E52" s="21" t="str"/>
      <x:c r="F52" s="21" t="str"/>
      <x:c r="G52" s="21" t="str"/>
      <x:c r="H52" s="33" t="str"/>
      <x:c r="I52" s="33" t="str"/>
      <x:c r="J52" s="33" t="str"/>
      <x:c r="K52" s="33" t="str"/>
      <x:c r="L52" s="33" t="str"/>
      <x:c r="M52" s="33" t="str">
        <x:f>IF(OR(J52="",K52=""),"",K52-J52)</x:f>
      </x:c>
      <x:c r="N52" s="21" t="str"/>
      <x:c r="O52" s="21" t="str"/>
      <x:c r="P52" s="21" t="str"/>
      <x:c r="Q52" s="21" t="str"/>
    </x:row>
    <x:row r="53" ht="38" customHeight="1">
      <x:c r="A53" s="21" t="str"/>
      <x:c r="B53" s="31" t="str"/>
      <x:c r="C53" s="21" t="str"/>
      <x:c r="D53" s="21" t="str"/>
      <x:c r="E53" s="21" t="str"/>
      <x:c r="F53" s="21" t="str"/>
      <x:c r="G53" s="21" t="str"/>
      <x:c r="H53" s="33" t="str"/>
      <x:c r="I53" s="33" t="str"/>
      <x:c r="J53" s="33" t="str"/>
      <x:c r="K53" s="33" t="str"/>
      <x:c r="L53" s="33" t="str"/>
      <x:c r="M53" s="33" t="str">
        <x:f>IF(OR(J53="",K53=""),"",K53-J53)</x:f>
      </x:c>
      <x:c r="N53" s="21" t="str"/>
      <x:c r="O53" s="21" t="str"/>
      <x:c r="P53" s="21" t="str"/>
      <x:c r="Q53" s="21" t="str"/>
    </x:row>
    <x:row r="54" ht="38" customHeight="1">
      <x:c r="A54" s="21" t="str"/>
      <x:c r="B54" s="31" t="str"/>
      <x:c r="C54" s="21" t="str"/>
      <x:c r="D54" s="21" t="str"/>
      <x:c r="E54" s="21" t="str"/>
      <x:c r="F54" s="21" t="str"/>
      <x:c r="G54" s="21" t="str"/>
      <x:c r="H54" s="33" t="str"/>
      <x:c r="I54" s="33" t="str"/>
      <x:c r="J54" s="33" t="str"/>
      <x:c r="K54" s="33" t="str"/>
      <x:c r="L54" s="33" t="str"/>
      <x:c r="M54" s="33" t="str">
        <x:f>IF(OR(J54="",K54=""),"",K54-J54)</x:f>
      </x:c>
      <x:c r="N54" s="21" t="str"/>
      <x:c r="O54" s="21" t="str"/>
      <x:c r="P54" s="21" t="str"/>
      <x:c r="Q54" s="21" t="str"/>
    </x:row>
    <x:row r="55" ht="38" customHeight="1">
      <x:c r="A55" s="21" t="str"/>
      <x:c r="B55" s="31" t="str"/>
      <x:c r="C55" s="21" t="str"/>
      <x:c r="D55" s="21" t="str"/>
      <x:c r="E55" s="21" t="str"/>
      <x:c r="F55" s="21" t="str"/>
      <x:c r="G55" s="21" t="str"/>
      <x:c r="H55" s="33" t="str"/>
      <x:c r="I55" s="33" t="str"/>
      <x:c r="J55" s="33" t="str"/>
      <x:c r="K55" s="33" t="str"/>
      <x:c r="L55" s="33" t="str"/>
      <x:c r="M55" s="33" t="str">
        <x:f>IF(OR(J55="",K55=""),"",K55-J55)</x:f>
      </x:c>
      <x:c r="N55" s="21" t="str"/>
      <x:c r="O55" s="21" t="str"/>
      <x:c r="P55" s="21" t="str"/>
      <x:c r="Q55" s="21" t="str"/>
    </x:row>
    <x:row r="56" ht="38" customHeight="1">
      <x:c r="A56" s="21" t="str"/>
      <x:c r="B56" s="31" t="str"/>
      <x:c r="C56" s="21" t="str"/>
      <x:c r="D56" s="21" t="str"/>
      <x:c r="E56" s="21" t="str"/>
      <x:c r="F56" s="21" t="str"/>
      <x:c r="G56" s="21" t="str"/>
      <x:c r="H56" s="33" t="str"/>
      <x:c r="I56" s="33" t="str"/>
      <x:c r="J56" s="33" t="str"/>
      <x:c r="K56" s="33" t="str"/>
      <x:c r="L56" s="33" t="str"/>
      <x:c r="M56" s="33" t="str">
        <x:f>IF(OR(J56="",K56=""),"",K56-J56)</x:f>
      </x:c>
      <x:c r="N56" s="21" t="str"/>
      <x:c r="O56" s="21" t="str"/>
      <x:c r="P56" s="21" t="str"/>
      <x:c r="Q56" s="21" t="str"/>
    </x:row>
    <x:row r="57" ht="38" customHeight="1">
      <x:c r="A57" s="21" t="str"/>
      <x:c r="B57" s="31" t="str"/>
      <x:c r="C57" s="21" t="str"/>
      <x:c r="D57" s="21" t="str"/>
      <x:c r="E57" s="21" t="str"/>
      <x:c r="F57" s="21" t="str"/>
      <x:c r="G57" s="21" t="str"/>
      <x:c r="H57" s="33" t="str"/>
      <x:c r="I57" s="33" t="str"/>
      <x:c r="J57" s="33" t="str"/>
      <x:c r="K57" s="33" t="str"/>
      <x:c r="L57" s="33" t="str"/>
      <x:c r="M57" s="33" t="str">
        <x:f>IF(OR(J57="",K57=""),"",K57-J57)</x:f>
      </x:c>
      <x:c r="N57" s="21" t="str"/>
      <x:c r="O57" s="21" t="str"/>
      <x:c r="P57" s="21" t="str"/>
      <x:c r="Q57" s="21" t="str"/>
    </x:row>
    <x:row r="58" ht="38" customHeight="1">
      <x:c r="A58" s="21" t="str"/>
      <x:c r="B58" s="31" t="str"/>
      <x:c r="C58" s="21" t="str"/>
      <x:c r="D58" s="21" t="str"/>
      <x:c r="E58" s="21" t="str"/>
      <x:c r="F58" s="21" t="str"/>
      <x:c r="G58" s="21" t="str"/>
      <x:c r="H58" s="33" t="str"/>
      <x:c r="I58" s="33" t="str"/>
      <x:c r="J58" s="33" t="str"/>
      <x:c r="K58" s="33" t="str"/>
      <x:c r="L58" s="33" t="str"/>
      <x:c r="M58" s="33" t="str">
        <x:f>IF(OR(J58="",K58=""),"",K58-J58)</x:f>
      </x:c>
      <x:c r="N58" s="21" t="str"/>
      <x:c r="O58" s="21" t="str"/>
      <x:c r="P58" s="21" t="str"/>
      <x:c r="Q58" s="21" t="str"/>
    </x:row>
    <x:row r="59" ht="38" customHeight="1">
      <x:c r="A59" s="21" t="str"/>
      <x:c r="B59" s="31" t="str"/>
      <x:c r="C59" s="21" t="str"/>
      <x:c r="D59" s="21" t="str"/>
      <x:c r="E59" s="21" t="str"/>
      <x:c r="F59" s="21" t="str"/>
      <x:c r="G59" s="21" t="str"/>
      <x:c r="H59" s="33" t="str"/>
      <x:c r="I59" s="33" t="str"/>
      <x:c r="J59" s="33" t="str"/>
      <x:c r="K59" s="33" t="str"/>
      <x:c r="L59" s="33" t="str"/>
      <x:c r="M59" s="33" t="str">
        <x:f>IF(OR(J59="",K59=""),"",K59-J59)</x:f>
      </x:c>
      <x:c r="N59" s="21" t="str"/>
      <x:c r="O59" s="21" t="str"/>
      <x:c r="P59" s="21" t="str"/>
      <x:c r="Q59" s="21" t="str"/>
    </x:row>
    <x:row r="60" ht="38" customHeight="1">
      <x:c r="A60" s="21" t="str"/>
      <x:c r="B60" s="31" t="str"/>
      <x:c r="C60" s="21" t="str"/>
      <x:c r="D60" s="21" t="str"/>
      <x:c r="E60" s="21" t="str"/>
      <x:c r="F60" s="21" t="str"/>
      <x:c r="G60" s="21" t="str"/>
      <x:c r="H60" s="33" t="str"/>
      <x:c r="I60" s="33" t="str"/>
      <x:c r="J60" s="33" t="str"/>
      <x:c r="K60" s="33" t="str"/>
      <x:c r="L60" s="33" t="str"/>
      <x:c r="M60" s="33" t="str">
        <x:f>IF(OR(J60="",K60=""),"",K60-J60)</x:f>
      </x:c>
      <x:c r="N60" s="21" t="str"/>
      <x:c r="O60" s="21" t="str"/>
      <x:c r="P60" s="21" t="str"/>
      <x:c r="Q60" s="21" t="str"/>
    </x:row>
    <x:row r="61" ht="38" customHeight="1">
      <x:c r="A61" s="21" t="str"/>
      <x:c r="B61" s="31" t="str"/>
      <x:c r="C61" s="21" t="str"/>
      <x:c r="D61" s="21" t="str"/>
      <x:c r="E61" s="21" t="str"/>
      <x:c r="F61" s="21" t="str"/>
      <x:c r="G61" s="21" t="str"/>
      <x:c r="H61" s="33" t="str"/>
      <x:c r="I61" s="33" t="str"/>
      <x:c r="J61" s="33" t="str"/>
      <x:c r="K61" s="33" t="str"/>
      <x:c r="L61" s="33" t="str"/>
      <x:c r="M61" s="33" t="str">
        <x:f>IF(OR(J61="",K61=""),"",K61-J61)</x:f>
      </x:c>
      <x:c r="N61" s="21" t="str"/>
      <x:c r="O61" s="21" t="str"/>
      <x:c r="P61" s="21" t="str"/>
      <x:c r="Q61" s="21" t="str"/>
    </x:row>
    <x:row r="62" ht="38" customHeight="1">
      <x:c r="A62" s="21" t="str"/>
      <x:c r="B62" s="31" t="str"/>
      <x:c r="C62" s="21" t="str"/>
      <x:c r="D62" s="21" t="str"/>
      <x:c r="E62" s="21" t="str"/>
      <x:c r="F62" s="21" t="str"/>
      <x:c r="G62" s="21" t="str"/>
      <x:c r="H62" s="33" t="str"/>
      <x:c r="I62" s="33" t="str"/>
      <x:c r="J62" s="33" t="str"/>
      <x:c r="K62" s="33" t="str"/>
      <x:c r="L62" s="33" t="str"/>
      <x:c r="M62" s="33" t="str">
        <x:f>IF(OR(J62="",K62=""),"",K62-J62)</x:f>
      </x:c>
      <x:c r="N62" s="21" t="str"/>
      <x:c r="O62" s="21" t="str"/>
      <x:c r="P62" s="21" t="str"/>
      <x:c r="Q62" s="21" t="str"/>
    </x:row>
    <x:row r="63" ht="38" customHeight="1">
      <x:c r="A63" s="21" t="str"/>
      <x:c r="B63" s="31" t="str"/>
      <x:c r="C63" s="21" t="str"/>
      <x:c r="D63" s="21" t="str"/>
      <x:c r="E63" s="21" t="str"/>
      <x:c r="F63" s="21" t="str"/>
      <x:c r="G63" s="21" t="str"/>
      <x:c r="H63" s="33" t="str"/>
      <x:c r="I63" s="33" t="str"/>
      <x:c r="J63" s="33" t="str"/>
      <x:c r="K63" s="33" t="str"/>
      <x:c r="L63" s="33" t="str"/>
      <x:c r="M63" s="33" t="str">
        <x:f>IF(OR(J63="",K63=""),"",K63-J63)</x:f>
      </x:c>
      <x:c r="N63" s="21" t="str"/>
      <x:c r="O63" s="21" t="str"/>
      <x:c r="P63" s="21" t="str"/>
      <x:c r="Q63" s="21" t="str"/>
    </x:row>
    <x:row r="64" ht="38" customHeight="1">
      <x:c r="A64" s="21" t="str"/>
      <x:c r="B64" s="31" t="str"/>
      <x:c r="C64" s="21" t="str"/>
      <x:c r="D64" s="21" t="str"/>
      <x:c r="E64" s="21" t="str"/>
      <x:c r="F64" s="21" t="str"/>
      <x:c r="G64" s="21" t="str"/>
      <x:c r="H64" s="33" t="str"/>
      <x:c r="I64" s="33" t="str"/>
      <x:c r="J64" s="33" t="str"/>
      <x:c r="K64" s="33" t="str"/>
      <x:c r="L64" s="33" t="str"/>
      <x:c r="M64" s="33" t="str">
        <x:f>IF(OR(J64="",K64=""),"",K64-J64)</x:f>
      </x:c>
      <x:c r="N64" s="21" t="str"/>
      <x:c r="O64" s="21" t="str"/>
      <x:c r="P64" s="21" t="str"/>
      <x:c r="Q64" s="21" t="str"/>
    </x:row>
  </x:sheetData>
  <x:mergeCells>
    <x:mergeCell ref="A1:Q2"/>
    <x:mergeCell ref="A3:Q3"/>
  </x:mergeCells>
  <x:conditionalFormatting sqref="N5:N64">
    <x:cfRule type="containsText" dxfId="26" priority="1" operator="containsText" text="达标"/>
    <x:cfRule type="containsText" dxfId="27" priority="2" operator="containsText" text="偏低"/>
    <x:cfRule type="containsText" dxfId="28" priority="3" operator="containsText" text="偏高"/>
    <x:cfRule type="containsText" dxfId="29" priority="4" operator="containsText" text="需扩大样本"/>
  </x:conditionalFormatting>
  <x:dataValidations count="2">
    <x:dataValidation type="list" sqref="G5:G64">
      <x:formula1>'口径与下拉'!$N$9:$N$15</x:formula1>
    </x:dataValidation>
    <x:dataValidation type="list" sqref="N5:N64">
      <x:formula1>"未评估,达标,偏低,偏高,需扩大样本"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099550cbf342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8" hidden="0" customWidth="1"/>
    <x:col min="5" max="5" width="14" hidden="0" customWidth="1"/>
    <x:col min="6" max="6" width="20" hidden="0" customWidth="1"/>
    <x:col min="7" max="7" width="14" hidden="0" customWidth="1"/>
    <x:col min="8" max="8" width="14" hidden="0" customWidth="1"/>
    <x:col min="9" max="9" width="17" hidden="0" customWidth="1"/>
    <x:col min="10" max="10" width="17" hidden="0" customWidth="1"/>
    <x:col min="11" max="11" width="10" hidden="0" customWidth="1"/>
    <x:col min="12" max="12" width="10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  <x:col min="17" max="17" width="14" hidden="0" customWidth="1"/>
    <x:col min="18" max="18" width="16" hidden="0" customWidth="1"/>
    <x:col min="19" max="19" width="18" hidden="0" customWidth="1"/>
    <x:col min="20" max="20" width="18" hidden="0" customWidth="1"/>
    <x:col min="21" max="21" width="12" hidden="0" customWidth="1"/>
    <x:col min="22" max="22" width="22" hidden="0" customWidth="1"/>
    <x:col min="23" max="23" width="28" hidden="0" customWidth="1"/>
  </x:cols>
  <x:sheetData>
    <x:row r="1" ht="34" customHeight="1">
      <x:c r="A1" s="4" t="str">
        <x:v>性能与兼容性实测记录</x:v>
      </x:c>
      <x:c r="B1" s="4" t="str">
        <x:v>性能与兼容性实测记录</x:v>
      </x:c>
      <x:c r="C1" s="4" t="str">
        <x:v>性能与兼容性实测记录</x:v>
      </x:c>
      <x:c r="D1" s="4" t="str">
        <x:v>性能与兼容性实测记录</x:v>
      </x:c>
      <x:c r="E1" s="4" t="str">
        <x:v>性能与兼容性实测记录</x:v>
      </x:c>
      <x:c r="F1" s="4" t="str">
        <x:v>性能与兼容性实测记录</x:v>
      </x:c>
      <x:c r="G1" s="4" t="str">
        <x:v>性能与兼容性实测记录</x:v>
      </x:c>
      <x:c r="H1" s="4" t="str">
        <x:v>性能与兼容性实测记录</x:v>
      </x:c>
      <x:c r="I1" s="4" t="str">
        <x:v>性能与兼容性实测记录</x:v>
      </x:c>
      <x:c r="J1" s="4" t="str">
        <x:v>性能与兼容性实测记录</x:v>
      </x:c>
      <x:c r="K1" s="4" t="str">
        <x:v>性能与兼容性实测记录</x:v>
      </x:c>
      <x:c r="L1" s="4" t="str">
        <x:v>性能与兼容性实测记录</x:v>
      </x:c>
      <x:c r="M1" s="4" t="str">
        <x:v>性能与兼容性实测记录</x:v>
      </x:c>
      <x:c r="N1" s="4" t="str">
        <x:v>性能与兼容性实测记录</x:v>
      </x:c>
      <x:c r="O1" s="4" t="str">
        <x:v>性能与兼容性实测记录</x:v>
      </x:c>
      <x:c r="P1" s="4" t="str">
        <x:v>性能与兼容性实测记录</x:v>
      </x:c>
      <x:c r="Q1" s="4" t="str">
        <x:v>性能与兼容性实测记录</x:v>
      </x:c>
      <x:c r="R1" s="4" t="str">
        <x:v>性能与兼容性实测记录</x:v>
      </x:c>
      <x:c r="S1" s="4" t="str">
        <x:v>性能与兼容性实测记录</x:v>
      </x:c>
      <x:c r="T1" s="4" t="str">
        <x:v>性能与兼容性实测记录</x:v>
      </x:c>
      <x:c r="U1" s="4" t="str">
        <x:v>性能与兼容性实测记录</x:v>
      </x:c>
      <x:c r="V1" s="4" t="str">
        <x:v>性能与兼容性实测记录</x:v>
      </x:c>
      <x:c r="W1" s="4" t="str">
        <x:v>性能与兼容性实测记录</x:v>
      </x:c>
    </x:row>
    <x:row r="2" ht="34" customHeight="1">
      <x:c r="A2" s="4" t="str">
        <x:v>性能与兼容性实测记录</x:v>
      </x:c>
      <x:c r="B2" s="4" t="str">
        <x:v>性能与兼容性实测记录</x:v>
      </x:c>
      <x:c r="C2" s="4" t="str">
        <x:v>性能与兼容性实测记录</x:v>
      </x:c>
      <x:c r="D2" s="4" t="str">
        <x:v>性能与兼容性实测记录</x:v>
      </x:c>
      <x:c r="E2" s="4" t="str">
        <x:v>性能与兼容性实测记录</x:v>
      </x:c>
      <x:c r="F2" s="4" t="str">
        <x:v>性能与兼容性实测记录</x:v>
      </x:c>
      <x:c r="G2" s="4" t="str">
        <x:v>性能与兼容性实测记录</x:v>
      </x:c>
      <x:c r="H2" s="4" t="str">
        <x:v>性能与兼容性实测记录</x:v>
      </x:c>
      <x:c r="I2" s="4" t="str">
        <x:v>性能与兼容性实测记录</x:v>
      </x:c>
      <x:c r="J2" s="4" t="str">
        <x:v>性能与兼容性实测记录</x:v>
      </x:c>
      <x:c r="K2" s="4" t="str">
        <x:v>性能与兼容性实测记录</x:v>
      </x:c>
      <x:c r="L2" s="4" t="str">
        <x:v>性能与兼容性实测记录</x:v>
      </x:c>
      <x:c r="M2" s="4" t="str">
        <x:v>性能与兼容性实测记录</x:v>
      </x:c>
      <x:c r="N2" s="4" t="str">
        <x:v>性能与兼容性实测记录</x:v>
      </x:c>
      <x:c r="O2" s="4" t="str">
        <x:v>性能与兼容性实测记录</x:v>
      </x:c>
      <x:c r="P2" s="4" t="str">
        <x:v>性能与兼容性实测记录</x:v>
      </x:c>
      <x:c r="Q2" s="4" t="str">
        <x:v>性能与兼容性实测记录</x:v>
      </x:c>
      <x:c r="R2" s="4" t="str">
        <x:v>性能与兼容性实测记录</x:v>
      </x:c>
      <x:c r="S2" s="4" t="str">
        <x:v>性能与兼容性实测记录</x:v>
      </x:c>
      <x:c r="T2" s="4" t="str">
        <x:v>性能与兼容性实测记录</x:v>
      </x:c>
      <x:c r="U2" s="4" t="str">
        <x:v>性能与兼容性实测记录</x:v>
      </x:c>
      <x:c r="V2" s="4" t="str">
        <x:v>性能与兼容性实测记录</x:v>
      </x:c>
      <x:c r="W2" s="4" t="str">
        <x:v>性能与兼容性实测记录</x:v>
      </x:c>
    </x:row>
    <x:row r="3" ht="34" customHeight="1">
      <x:c r="A3" s="8" t="str">
        <x:v>同一构建至少覆盖五档视口、iOS/Android/桌面、正常/弱网/离线。指标以真实设备中位数为主；控制台错误和 HTTP 错误必须记录数量与证据。</x:v>
      </x:c>
      <x:c r="B3" s="8" t="str">
        <x:v>同一构建至少覆盖五档视口、iOS/Android/桌面、正常/弱网/离线。指标以真实设备中位数为主；控制台错误和 HTTP 错误必须记录数量与证据。</x:v>
      </x:c>
      <x:c r="C3" s="8" t="str">
        <x:v>同一构建至少覆盖五档视口、iOS/Android/桌面、正常/弱网/离线。指标以真实设备中位数为主；控制台错误和 HTTP 错误必须记录数量与证据。</x:v>
      </x:c>
      <x:c r="D3" s="8" t="str">
        <x:v>同一构建至少覆盖五档视口、iOS/Android/桌面、正常/弱网/离线。指标以真实设备中位数为主；控制台错误和 HTTP 错误必须记录数量与证据。</x:v>
      </x:c>
      <x:c r="E3" s="8" t="str">
        <x:v>同一构建至少覆盖五档视口、iOS/Android/桌面、正常/弱网/离线。指标以真实设备中位数为主；控制台错误和 HTTP 错误必须记录数量与证据。</x:v>
      </x:c>
      <x:c r="F3" s="8" t="str">
        <x:v>同一构建至少覆盖五档视口、iOS/Android/桌面、正常/弱网/离线。指标以真实设备中位数为主；控制台错误和 HTTP 错误必须记录数量与证据。</x:v>
      </x:c>
      <x:c r="G3" s="8" t="str">
        <x:v>同一构建至少覆盖五档视口、iOS/Android/桌面、正常/弱网/离线。指标以真实设备中位数为主；控制台错误和 HTTP 错误必须记录数量与证据。</x:v>
      </x:c>
      <x:c r="H3" s="8" t="str">
        <x:v>同一构建至少覆盖五档视口、iOS/Android/桌面、正常/弱网/离线。指标以真实设备中位数为主；控制台错误和 HTTP 错误必须记录数量与证据。</x:v>
      </x:c>
      <x:c r="I3" s="8" t="str">
        <x:v>同一构建至少覆盖五档视口、iOS/Android/桌面、正常/弱网/离线。指标以真实设备中位数为主；控制台错误和 HTTP 错误必须记录数量与证据。</x:v>
      </x:c>
      <x:c r="J3" s="8" t="str">
        <x:v>同一构建至少覆盖五档视口、iOS/Android/桌面、正常/弱网/离线。指标以真实设备中位数为主；控制台错误和 HTTP 错误必须记录数量与证据。</x:v>
      </x:c>
      <x:c r="K3" s="8" t="str">
        <x:v>同一构建至少覆盖五档视口、iOS/Android/桌面、正常/弱网/离线。指标以真实设备中位数为主；控制台错误和 HTTP 错误必须记录数量与证据。</x:v>
      </x:c>
      <x:c r="L3" s="8" t="str">
        <x:v>同一构建至少覆盖五档视口、iOS/Android/桌面、正常/弱网/离线。指标以真实设备中位数为主；控制台错误和 HTTP 错误必须记录数量与证据。</x:v>
      </x:c>
      <x:c r="M3" s="8" t="str">
        <x:v>同一构建至少覆盖五档视口、iOS/Android/桌面、正常/弱网/离线。指标以真实设备中位数为主；控制台错误和 HTTP 错误必须记录数量与证据。</x:v>
      </x:c>
      <x:c r="N3" s="8" t="str">
        <x:v>同一构建至少覆盖五档视口、iOS/Android/桌面、正常/弱网/离线。指标以真实设备中位数为主；控制台错误和 HTTP 错误必须记录数量与证据。</x:v>
      </x:c>
      <x:c r="O3" s="8" t="str">
        <x:v>同一构建至少覆盖五档视口、iOS/Android/桌面、正常/弱网/离线。指标以真实设备中位数为主；控制台错误和 HTTP 错误必须记录数量与证据。</x:v>
      </x:c>
      <x:c r="P3" s="8" t="str">
        <x:v>同一构建至少覆盖五档视口、iOS/Android/桌面、正常/弱网/离线。指标以真实设备中位数为主；控制台错误和 HTTP 错误必须记录数量与证据。</x:v>
      </x:c>
      <x:c r="Q3" s="8" t="str">
        <x:v>同一构建至少覆盖五档视口、iOS/Android/桌面、正常/弱网/离线。指标以真实设备中位数为主；控制台错误和 HTTP 错误必须记录数量与证据。</x:v>
      </x:c>
      <x:c r="R3" s="8" t="str">
        <x:v>同一构建至少覆盖五档视口、iOS/Android/桌面、正常/弱网/离线。指标以真实设备中位数为主；控制台错误和 HTTP 错误必须记录数量与证据。</x:v>
      </x:c>
      <x:c r="S3" s="8" t="str">
        <x:v>同一构建至少覆盖五档视口、iOS/Android/桌面、正常/弱网/离线。指标以真实设备中位数为主；控制台错误和 HTTP 错误必须记录数量与证据。</x:v>
      </x:c>
      <x:c r="T3" s="8" t="str">
        <x:v>同一构建至少覆盖五档视口、iOS/Android/桌面、正常/弱网/离线。指标以真实设备中位数为主；控制台错误和 HTTP 错误必须记录数量与证据。</x:v>
      </x:c>
      <x:c r="U3" s="8" t="str">
        <x:v>同一构建至少覆盖五档视口、iOS/Android/桌面、正常/弱网/离线。指标以真实设备中位数为主；控制台错误和 HTTP 错误必须记录数量与证据。</x:v>
      </x:c>
      <x:c r="V3" s="8" t="str">
        <x:v>同一构建至少覆盖五档视口、iOS/Android/桌面、正常/弱网/离线。指标以真实设备中位数为主；控制台错误和 HTTP 错误必须记录数量与证据。</x:v>
      </x:c>
      <x:c r="W3" s="8" t="str">
        <x:v>同一构建至少覆盖五档视口、iOS/Android/桌面、正常/弱网/离线。指标以真实设备中位数为主；控制台错误和 HTTP 错误必须记录数量与证据。</x:v>
      </x:c>
    </x:row>
    <x:row r="4" ht="32" customHeight="1">
      <x:c r="A4" s="14" t="str">
        <x:v>测试ID</x:v>
      </x:c>
      <x:c r="B4" s="14" t="str">
        <x:v>日期</x:v>
      </x:c>
      <x:c r="C4" s="14" t="str">
        <x:v>构建/版本</x:v>
      </x:c>
      <x:c r="D4" s="14" t="str">
        <x:v>设备型号</x:v>
      </x:c>
      <x:c r="E4" s="14" t="str">
        <x:v>系统</x:v>
      </x:c>
      <x:c r="F4" s="14" t="str">
        <x:v>浏览器/WebView</x:v>
      </x:c>
      <x:c r="G4" s="14" t="str">
        <x:v>视口</x:v>
      </x:c>
      <x:c r="H4" s="14" t="str">
        <x:v>网络</x:v>
      </x:c>
      <x:c r="I4" s="14" t="str">
        <x:v>冷启动可交互(ms)</x:v>
      </x:c>
      <x:c r="J4" s="14" t="str">
        <x:v>重返可交互(ms)</x:v>
      </x:c>
      <x:c r="K4" s="14" t="str">
        <x:v>平均FPS</x:v>
      </x:c>
      <x:c r="L4" s="14" t="str">
        <x:v>最低FPS</x:v>
      </x:c>
      <x:c r="M4" s="14" t="str">
        <x:v>输入延迟(ms)</x:v>
      </x:c>
      <x:c r="N4" s="14" t="str">
        <x:v>峰值内存(MB)</x:v>
      </x:c>
      <x:c r="O4" s="14" t="str">
        <x:v>加载/包体(MB)</x:v>
      </x:c>
      <x:c r="P4" s="14" t="str">
        <x:v>控制台错误</x:v>
      </x:c>
      <x:c r="Q4" s="14" t="str">
        <x:v>HTTP错误</x:v>
      </x:c>
      <x:c r="R4" s="14" t="str">
        <x:v>存档读写</x:v>
      </x:c>
      <x:c r="S4" s="14" t="str">
        <x:v>音频/视频</x:v>
      </x:c>
      <x:c r="T4" s="14" t="str">
        <x:v>旋转/安全区</x:v>
      </x:c>
      <x:c r="U4" s="14" t="str">
        <x:v>状态</x:v>
      </x:c>
      <x:c r="V4" s="14" t="str">
        <x:v>证据</x:v>
      </x:c>
      <x:c r="W4" s="14" t="str">
        <x:v>备注</x:v>
      </x:c>
    </x:row>
    <x:row r="5" ht="38" customHeight="1">
      <x:c r="A5" s="20" t="str">
        <x:v>PERF-001</x:v>
      </x:c>
      <x:c r="B5" s="30" t="str"/>
      <x:c r="C5" s="20" t="str"/>
      <x:c r="D5" s="20" t="str"/>
      <x:c r="E5" s="20" t="str"/>
      <x:c r="F5" s="20" t="str">
        <x:v>Chrome/Android</x:v>
      </x:c>
      <x:c r="G5" s="20" t="str">
        <x:v>320×568</x:v>
      </x:c>
      <x:c r="H5" s="20" t="str">
        <x:v>4G</x:v>
      </x:c>
      <x:c r="I5" s="20" t="str"/>
      <x:c r="J5" s="20" t="str"/>
      <x:c r="K5" s="20" t="str"/>
      <x:c r="L5" s="20" t="str"/>
      <x:c r="M5" s="20" t="str"/>
      <x:c r="N5" s="20" t="str"/>
      <x:c r="O5" s="20" t="str"/>
      <x:c r="P5" s="20" t="str"/>
      <x:c r="Q5" s="20" t="str"/>
      <x:c r="R5" s="20" t="str"/>
      <x:c r="S5" s="20" t="str"/>
      <x:c r="T5" s="20" t="str"/>
      <x:c r="U5" s="20" t="str">
        <x:v>未检查</x:v>
      </x:c>
      <x:c r="V5" s="20" t="str"/>
      <x:c r="W5" s="20" t="str"/>
    </x:row>
    <x:row r="6" ht="38" customHeight="1">
      <x:c r="A6" s="21" t="str">
        <x:v>PERF-002</x:v>
      </x:c>
      <x:c r="B6" s="31" t="str"/>
      <x:c r="C6" s="21" t="str"/>
      <x:c r="D6" s="21" t="str"/>
      <x:c r="E6" s="21" t="str"/>
      <x:c r="F6" s="21" t="str">
        <x:v>Chrome/Android</x:v>
      </x:c>
      <x:c r="G6" s="21" t="str">
        <x:v>360×800</x:v>
      </x:c>
      <x:c r="H6" s="21" t="str">
        <x:v>Wi-Fi</x:v>
      </x:c>
      <x:c r="I6" s="21" t="str"/>
      <x:c r="J6" s="21" t="str"/>
      <x:c r="K6" s="21" t="str"/>
      <x:c r="L6" s="21" t="str"/>
      <x:c r="M6" s="21" t="str"/>
      <x:c r="N6" s="21" t="str"/>
      <x:c r="O6" s="21" t="str"/>
      <x:c r="P6" s="21" t="str"/>
      <x:c r="Q6" s="21" t="str"/>
      <x:c r="R6" s="21" t="str"/>
      <x:c r="S6" s="21" t="str"/>
      <x:c r="T6" s="21" t="str"/>
      <x:c r="U6" s="21" t="str">
        <x:v>未检查</x:v>
      </x:c>
      <x:c r="V6" s="21" t="str"/>
      <x:c r="W6" s="21" t="str"/>
    </x:row>
    <x:row r="7" ht="38" customHeight="1">
      <x:c r="A7" s="21" t="str">
        <x:v>PERF-003</x:v>
      </x:c>
      <x:c r="B7" s="31" t="str"/>
      <x:c r="C7" s="21" t="str"/>
      <x:c r="D7" s="21" t="str"/>
      <x:c r="E7" s="21" t="str"/>
      <x:c r="F7" s="21" t="str">
        <x:v>Safari/iOS</x:v>
      </x:c>
      <x:c r="G7" s="21" t="str">
        <x:v>390×844</x:v>
      </x:c>
      <x:c r="H7" s="21" t="str">
        <x:v>Wi-Fi</x:v>
      </x:c>
      <x:c r="I7" s="21" t="str"/>
      <x:c r="J7" s="21" t="str"/>
      <x:c r="K7" s="21" t="str"/>
      <x:c r="L7" s="21" t="str"/>
      <x:c r="M7" s="21" t="str"/>
      <x:c r="N7" s="21" t="str"/>
      <x:c r="O7" s="21" t="str"/>
      <x:c r="P7" s="21" t="str"/>
      <x:c r="Q7" s="21" t="str"/>
      <x:c r="R7" s="21" t="str"/>
      <x:c r="S7" s="21" t="str"/>
      <x:c r="T7" s="21" t="str"/>
      <x:c r="U7" s="21" t="str">
        <x:v>未检查</x:v>
      </x:c>
      <x:c r="V7" s="21" t="str"/>
      <x:c r="W7" s="21" t="str"/>
    </x:row>
    <x:row r="8" ht="38" customHeight="1">
      <x:c r="A8" s="21" t="str">
        <x:v>PERF-004</x:v>
      </x:c>
      <x:c r="B8" s="31" t="str"/>
      <x:c r="C8" s="21" t="str"/>
      <x:c r="D8" s="21" t="str"/>
      <x:c r="E8" s="21" t="str"/>
      <x:c r="F8" s="21" t="str">
        <x:v>Chrome/Android</x:v>
      </x:c>
      <x:c r="G8" s="21" t="str">
        <x:v>430×932</x:v>
      </x:c>
      <x:c r="H8" s="21" t="str">
        <x:v>弱网</x:v>
      </x:c>
      <x:c r="I8" s="21" t="str"/>
      <x:c r="J8" s="21" t="str"/>
      <x:c r="K8" s="21" t="str"/>
      <x:c r="L8" s="21" t="str"/>
      <x:c r="M8" s="21" t="str"/>
      <x:c r="N8" s="21" t="str"/>
      <x:c r="O8" s="21" t="str"/>
      <x:c r="P8" s="21" t="str"/>
      <x:c r="Q8" s="21" t="str"/>
      <x:c r="R8" s="21" t="str"/>
      <x:c r="S8" s="21" t="str"/>
      <x:c r="T8" s="21" t="str"/>
      <x:c r="U8" s="21" t="str">
        <x:v>未检查</x:v>
      </x:c>
      <x:c r="V8" s="21" t="str"/>
      <x:c r="W8" s="21" t="str"/>
    </x:row>
    <x:row r="9" ht="38" customHeight="1">
      <x:c r="A9" s="21" t="str">
        <x:v>PERF-005</x:v>
      </x:c>
      <x:c r="B9" s="31" t="str"/>
      <x:c r="C9" s="21" t="str"/>
      <x:c r="D9" s="21" t="str"/>
      <x:c r="E9" s="21" t="str"/>
      <x:c r="F9" s="21" t="str">
        <x:v>TapTap WebView</x:v>
      </x:c>
      <x:c r="G9" s="21" t="str">
        <x:v>844×390</x:v>
      </x:c>
      <x:c r="H9" s="21" t="str">
        <x:v>离线/恢复</x:v>
      </x:c>
      <x:c r="I9" s="21" t="str"/>
      <x:c r="J9" s="21" t="str"/>
      <x:c r="K9" s="21" t="str"/>
      <x:c r="L9" s="21" t="str"/>
      <x:c r="M9" s="21" t="str"/>
      <x:c r="N9" s="21" t="str"/>
      <x:c r="O9" s="21" t="str"/>
      <x:c r="P9" s="21" t="str"/>
      <x:c r="Q9" s="21" t="str"/>
      <x:c r="R9" s="21" t="str"/>
      <x:c r="S9" s="21" t="str"/>
      <x:c r="T9" s="21" t="str"/>
      <x:c r="U9" s="21" t="str">
        <x:v>未检查</x:v>
      </x:c>
      <x:c r="V9" s="21" t="str"/>
      <x:c r="W9" s="21" t="str"/>
    </x:row>
    <x:row r="10" ht="38" customHeight="1">
      <x:c r="A10" s="21" t="str"/>
      <x:c r="B10" s="31" t="str"/>
      <x:c r="C10" s="21" t="str"/>
      <x:c r="D10" s="21" t="str"/>
      <x:c r="E10" s="21" t="str"/>
      <x:c r="F10" s="21" t="str"/>
      <x:c r="G10" s="21" t="str"/>
      <x:c r="H10" s="21" t="str"/>
      <x:c r="I10" s="21" t="str"/>
      <x:c r="J10" s="21" t="str"/>
      <x:c r="K10" s="21" t="str"/>
      <x:c r="L10" s="21" t="str"/>
      <x:c r="M10" s="21" t="str"/>
      <x:c r="N10" s="21" t="str"/>
      <x:c r="O10" s="21" t="str"/>
      <x:c r="P10" s="21" t="str"/>
      <x:c r="Q10" s="21" t="str"/>
      <x:c r="R10" s="21" t="str"/>
      <x:c r="S10" s="21" t="str"/>
      <x:c r="T10" s="21" t="str"/>
      <x:c r="U10" s="21" t="str"/>
      <x:c r="V10" s="21" t="str"/>
      <x:c r="W10" s="21" t="str"/>
    </x:row>
    <x:row r="11" ht="38" customHeight="1">
      <x:c r="A11" s="21" t="str"/>
      <x:c r="B11" s="31" t="str"/>
      <x:c r="C11" s="21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1" t="str"/>
      <x:c r="L11" s="21" t="str"/>
      <x:c r="M11" s="21" t="str"/>
      <x:c r="N11" s="21" t="str"/>
      <x:c r="O11" s="21" t="str"/>
      <x:c r="P11" s="21" t="str"/>
      <x:c r="Q11" s="21" t="str"/>
      <x:c r="R11" s="21" t="str"/>
      <x:c r="S11" s="21" t="str"/>
      <x:c r="T11" s="21" t="str"/>
      <x:c r="U11" s="21" t="str"/>
      <x:c r="V11" s="21" t="str"/>
      <x:c r="W11" s="21" t="str"/>
    </x:row>
    <x:row r="12" ht="38" customHeight="1">
      <x:c r="A12" s="21" t="str"/>
      <x:c r="B12" s="31" t="str"/>
      <x:c r="C12" s="21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1" t="str"/>
      <x:c r="L12" s="21" t="str"/>
      <x:c r="M12" s="21" t="str"/>
      <x:c r="N12" s="21" t="str"/>
      <x:c r="O12" s="21" t="str"/>
      <x:c r="P12" s="21" t="str"/>
      <x:c r="Q12" s="21" t="str"/>
      <x:c r="R12" s="21" t="str"/>
      <x:c r="S12" s="21" t="str"/>
      <x:c r="T12" s="21" t="str"/>
      <x:c r="U12" s="21" t="str"/>
      <x:c r="V12" s="21" t="str"/>
      <x:c r="W12" s="21" t="str"/>
    </x:row>
    <x:row r="13" ht="38" customHeight="1">
      <x:c r="A13" s="21" t="str"/>
      <x:c r="B13" s="31" t="str"/>
      <x:c r="C13" s="21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1" t="str"/>
      <x:c r="L13" s="21" t="str"/>
      <x:c r="M13" s="21" t="str"/>
      <x:c r="N13" s="21" t="str"/>
      <x:c r="O13" s="21" t="str"/>
      <x:c r="P13" s="21" t="str"/>
      <x:c r="Q13" s="21" t="str"/>
      <x:c r="R13" s="21" t="str"/>
      <x:c r="S13" s="21" t="str"/>
      <x:c r="T13" s="21" t="str"/>
      <x:c r="U13" s="21" t="str"/>
      <x:c r="V13" s="21" t="str"/>
      <x:c r="W13" s="21" t="str"/>
    </x:row>
    <x:row r="14" ht="38" customHeight="1">
      <x:c r="A14" s="21" t="str"/>
      <x:c r="B14" s="31" t="str"/>
      <x:c r="C14" s="21" t="str"/>
      <x:c r="D14" s="21" t="str"/>
      <x:c r="E14" s="21" t="str"/>
      <x:c r="F14" s="21" t="str"/>
      <x:c r="G14" s="21" t="str"/>
      <x:c r="H14" s="21" t="str"/>
      <x:c r="I14" s="21" t="str"/>
      <x:c r="J14" s="21" t="str"/>
      <x:c r="K14" s="21" t="str"/>
      <x:c r="L14" s="21" t="str"/>
      <x:c r="M14" s="21" t="str"/>
      <x:c r="N14" s="21" t="str"/>
      <x:c r="O14" s="21" t="str"/>
      <x:c r="P14" s="21" t="str"/>
      <x:c r="Q14" s="21" t="str"/>
      <x:c r="R14" s="21" t="str"/>
      <x:c r="S14" s="21" t="str"/>
      <x:c r="T14" s="21" t="str"/>
      <x:c r="U14" s="21" t="str"/>
      <x:c r="V14" s="21" t="str"/>
      <x:c r="W14" s="21" t="str"/>
    </x:row>
    <x:row r="15" ht="38" customHeight="1">
      <x:c r="A15" s="21" t="str"/>
      <x:c r="B15" s="31" t="str"/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1" t="str"/>
      <x:c r="L15" s="21" t="str"/>
      <x:c r="M15" s="21" t="str"/>
      <x:c r="N15" s="21" t="str"/>
      <x:c r="O15" s="21" t="str"/>
      <x:c r="P15" s="21" t="str"/>
      <x:c r="Q15" s="21" t="str"/>
      <x:c r="R15" s="21" t="str"/>
      <x:c r="S15" s="21" t="str"/>
      <x:c r="T15" s="21" t="str"/>
      <x:c r="U15" s="21" t="str"/>
      <x:c r="V15" s="21" t="str"/>
      <x:c r="W15" s="21" t="str"/>
    </x:row>
    <x:row r="16" ht="38" customHeight="1">
      <x:c r="A16" s="21" t="str"/>
      <x:c r="B16" s="31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  <x:c r="L16" s="21" t="str"/>
      <x:c r="M16" s="21" t="str"/>
      <x:c r="N16" s="21" t="str"/>
      <x:c r="O16" s="21" t="str"/>
      <x:c r="P16" s="21" t="str"/>
      <x:c r="Q16" s="21" t="str"/>
      <x:c r="R16" s="21" t="str"/>
      <x:c r="S16" s="21" t="str"/>
      <x:c r="T16" s="21" t="str"/>
      <x:c r="U16" s="21" t="str"/>
      <x:c r="V16" s="21" t="str"/>
      <x:c r="W16" s="21" t="str"/>
    </x:row>
    <x:row r="17" ht="38" customHeight="1">
      <x:c r="A17" s="21" t="str"/>
      <x:c r="B17" s="31" t="str"/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1" t="str"/>
      <x:c r="L17" s="21" t="str"/>
      <x:c r="M17" s="21" t="str"/>
      <x:c r="N17" s="21" t="str"/>
      <x:c r="O17" s="21" t="str"/>
      <x:c r="P17" s="21" t="str"/>
      <x:c r="Q17" s="21" t="str"/>
      <x:c r="R17" s="21" t="str"/>
      <x:c r="S17" s="21" t="str"/>
      <x:c r="T17" s="21" t="str"/>
      <x:c r="U17" s="21" t="str"/>
      <x:c r="V17" s="21" t="str"/>
      <x:c r="W17" s="21" t="str"/>
    </x:row>
    <x:row r="18" ht="38" customHeight="1">
      <x:c r="A18" s="21" t="str"/>
      <x:c r="B18" s="31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1" t="str"/>
      <x:c r="L18" s="21" t="str"/>
      <x:c r="M18" s="21" t="str"/>
      <x:c r="N18" s="21" t="str"/>
      <x:c r="O18" s="21" t="str"/>
      <x:c r="P18" s="21" t="str"/>
      <x:c r="Q18" s="21" t="str"/>
      <x:c r="R18" s="21" t="str"/>
      <x:c r="S18" s="21" t="str"/>
      <x:c r="T18" s="21" t="str"/>
      <x:c r="U18" s="21" t="str"/>
      <x:c r="V18" s="21" t="str"/>
      <x:c r="W18" s="21" t="str"/>
    </x:row>
    <x:row r="19" ht="38" customHeight="1">
      <x:c r="A19" s="21" t="str"/>
      <x:c r="B19" s="31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1" t="str"/>
      <x:c r="K19" s="21" t="str"/>
      <x:c r="L19" s="21" t="str"/>
      <x:c r="M19" s="21" t="str"/>
      <x:c r="N19" s="21" t="str"/>
      <x:c r="O19" s="21" t="str"/>
      <x:c r="P19" s="21" t="str"/>
      <x:c r="Q19" s="21" t="str"/>
      <x:c r="R19" s="21" t="str"/>
      <x:c r="S19" s="21" t="str"/>
      <x:c r="T19" s="21" t="str"/>
      <x:c r="U19" s="21" t="str"/>
      <x:c r="V19" s="21" t="str"/>
      <x:c r="W19" s="21" t="str"/>
    </x:row>
    <x:row r="20" ht="38" customHeight="1">
      <x:c r="A20" s="21" t="str"/>
      <x:c r="B20" s="31" t="str"/>
      <x:c r="C20" s="21" t="str"/>
      <x:c r="D20" s="21" t="str"/>
      <x:c r="E20" s="21" t="str"/>
      <x:c r="F20" s="21" t="str"/>
      <x:c r="G20" s="21" t="str"/>
      <x:c r="H20" s="21" t="str"/>
      <x:c r="I20" s="21" t="str"/>
      <x:c r="J20" s="21" t="str"/>
      <x:c r="K20" s="21" t="str"/>
      <x:c r="L20" s="21" t="str"/>
      <x:c r="M20" s="21" t="str"/>
      <x:c r="N20" s="21" t="str"/>
      <x:c r="O20" s="21" t="str"/>
      <x:c r="P20" s="21" t="str"/>
      <x:c r="Q20" s="21" t="str"/>
      <x:c r="R20" s="21" t="str"/>
      <x:c r="S20" s="21" t="str"/>
      <x:c r="T20" s="21" t="str"/>
      <x:c r="U20" s="21" t="str"/>
      <x:c r="V20" s="21" t="str"/>
      <x:c r="W20" s="21" t="str"/>
    </x:row>
    <x:row r="21" ht="38" customHeight="1">
      <x:c r="A21" s="21" t="str"/>
      <x:c r="B21" s="31" t="str"/>
      <x:c r="C21" s="21" t="str"/>
      <x:c r="D21" s="21" t="str"/>
      <x:c r="E21" s="21" t="str"/>
      <x:c r="F21" s="21" t="str"/>
      <x:c r="G21" s="21" t="str"/>
      <x:c r="H21" s="21" t="str"/>
      <x:c r="I21" s="21" t="str"/>
      <x:c r="J21" s="21" t="str"/>
      <x:c r="K21" s="21" t="str"/>
      <x:c r="L21" s="21" t="str"/>
      <x:c r="M21" s="21" t="str"/>
      <x:c r="N21" s="21" t="str"/>
      <x:c r="O21" s="21" t="str"/>
      <x:c r="P21" s="21" t="str"/>
      <x:c r="Q21" s="21" t="str"/>
      <x:c r="R21" s="21" t="str"/>
      <x:c r="S21" s="21" t="str"/>
      <x:c r="T21" s="21" t="str"/>
      <x:c r="U21" s="21" t="str"/>
      <x:c r="V21" s="21" t="str"/>
      <x:c r="W21" s="21" t="str"/>
    </x:row>
    <x:row r="22" ht="38" customHeight="1">
      <x:c r="A22" s="21" t="str"/>
      <x:c r="B22" s="31" t="str"/>
      <x:c r="C22" s="21" t="str"/>
      <x:c r="D22" s="21" t="str"/>
      <x:c r="E22" s="21" t="str"/>
      <x:c r="F22" s="21" t="str"/>
      <x:c r="G22" s="21" t="str"/>
      <x:c r="H22" s="21" t="str"/>
      <x:c r="I22" s="21" t="str"/>
      <x:c r="J22" s="21" t="str"/>
      <x:c r="K22" s="21" t="str"/>
      <x:c r="L22" s="21" t="str"/>
      <x:c r="M22" s="21" t="str"/>
      <x:c r="N22" s="21" t="str"/>
      <x:c r="O22" s="21" t="str"/>
      <x:c r="P22" s="21" t="str"/>
      <x:c r="Q22" s="21" t="str"/>
      <x:c r="R22" s="21" t="str"/>
      <x:c r="S22" s="21" t="str"/>
      <x:c r="T22" s="21" t="str"/>
      <x:c r="U22" s="21" t="str"/>
      <x:c r="V22" s="21" t="str"/>
      <x:c r="W22" s="21" t="str"/>
    </x:row>
    <x:row r="23" ht="38" customHeight="1">
      <x:c r="A23" s="21" t="str"/>
      <x:c r="B23" s="31" t="str"/>
      <x:c r="C23" s="21" t="str"/>
      <x:c r="D23" s="21" t="str"/>
      <x:c r="E23" s="21" t="str"/>
      <x:c r="F23" s="21" t="str"/>
      <x:c r="G23" s="21" t="str"/>
      <x:c r="H23" s="21" t="str"/>
      <x:c r="I23" s="21" t="str"/>
      <x:c r="J23" s="21" t="str"/>
      <x:c r="K23" s="21" t="str"/>
      <x:c r="L23" s="21" t="str"/>
      <x:c r="M23" s="21" t="str"/>
      <x:c r="N23" s="21" t="str"/>
      <x:c r="O23" s="21" t="str"/>
      <x:c r="P23" s="21" t="str"/>
      <x:c r="Q23" s="21" t="str"/>
      <x:c r="R23" s="21" t="str"/>
      <x:c r="S23" s="21" t="str"/>
      <x:c r="T23" s="21" t="str"/>
      <x:c r="U23" s="21" t="str"/>
      <x:c r="V23" s="21" t="str"/>
      <x:c r="W23" s="21" t="str"/>
    </x:row>
    <x:row r="24" ht="38" customHeight="1">
      <x:c r="A24" s="21" t="str"/>
      <x:c r="B24" s="31" t="str"/>
      <x:c r="C24" s="21" t="str"/>
      <x:c r="D24" s="21" t="str"/>
      <x:c r="E24" s="21" t="str"/>
      <x:c r="F24" s="21" t="str"/>
      <x:c r="G24" s="21" t="str"/>
      <x:c r="H24" s="21" t="str"/>
      <x:c r="I24" s="21" t="str"/>
      <x:c r="J24" s="21" t="str"/>
      <x:c r="K24" s="21" t="str"/>
      <x:c r="L24" s="21" t="str"/>
      <x:c r="M24" s="21" t="str"/>
      <x:c r="N24" s="21" t="str"/>
      <x:c r="O24" s="21" t="str"/>
      <x:c r="P24" s="21" t="str"/>
      <x:c r="Q24" s="21" t="str"/>
      <x:c r="R24" s="21" t="str"/>
      <x:c r="S24" s="21" t="str"/>
      <x:c r="T24" s="21" t="str"/>
      <x:c r="U24" s="21" t="str"/>
      <x:c r="V24" s="21" t="str"/>
      <x:c r="W24" s="21" t="str"/>
    </x:row>
    <x:row r="25" ht="38" customHeight="1">
      <x:c r="A25" s="21" t="str"/>
      <x:c r="B25" s="31" t="str"/>
      <x:c r="C25" s="21" t="str"/>
      <x:c r="D25" s="21" t="str"/>
      <x:c r="E25" s="21" t="str"/>
      <x:c r="F25" s="21" t="str"/>
      <x:c r="G25" s="21" t="str"/>
      <x:c r="H25" s="21" t="str"/>
      <x:c r="I25" s="21" t="str"/>
      <x:c r="J25" s="21" t="str"/>
      <x:c r="K25" s="21" t="str"/>
      <x:c r="L25" s="21" t="str"/>
      <x:c r="M25" s="21" t="str"/>
      <x:c r="N25" s="21" t="str"/>
      <x:c r="O25" s="21" t="str"/>
      <x:c r="P25" s="21" t="str"/>
      <x:c r="Q25" s="21" t="str"/>
      <x:c r="R25" s="21" t="str"/>
      <x:c r="S25" s="21" t="str"/>
      <x:c r="T25" s="21" t="str"/>
      <x:c r="U25" s="21" t="str"/>
      <x:c r="V25" s="21" t="str"/>
      <x:c r="W25" s="21" t="str"/>
    </x:row>
    <x:row r="26" ht="38" customHeight="1">
      <x:c r="A26" s="21" t="str"/>
      <x:c r="B26" s="31" t="str"/>
      <x:c r="C26" s="21" t="str"/>
      <x:c r="D26" s="21" t="str"/>
      <x:c r="E26" s="21" t="str"/>
      <x:c r="F26" s="21" t="str"/>
      <x:c r="G26" s="21" t="str"/>
      <x:c r="H26" s="21" t="str"/>
      <x:c r="I26" s="21" t="str"/>
      <x:c r="J26" s="21" t="str"/>
      <x:c r="K26" s="21" t="str"/>
      <x:c r="L26" s="21" t="str"/>
      <x:c r="M26" s="21" t="str"/>
      <x:c r="N26" s="21" t="str"/>
      <x:c r="O26" s="21" t="str"/>
      <x:c r="P26" s="21" t="str"/>
      <x:c r="Q26" s="21" t="str"/>
      <x:c r="R26" s="21" t="str"/>
      <x:c r="S26" s="21" t="str"/>
      <x:c r="T26" s="21" t="str"/>
      <x:c r="U26" s="21" t="str"/>
      <x:c r="V26" s="21" t="str"/>
      <x:c r="W26" s="21" t="str"/>
    </x:row>
    <x:row r="27" ht="38" customHeight="1">
      <x:c r="A27" s="21" t="str"/>
      <x:c r="B27" s="31" t="str"/>
      <x:c r="C27" s="21" t="str"/>
      <x:c r="D27" s="21" t="str"/>
      <x:c r="E27" s="21" t="str"/>
      <x:c r="F27" s="21" t="str"/>
      <x:c r="G27" s="21" t="str"/>
      <x:c r="H27" s="21" t="str"/>
      <x:c r="I27" s="21" t="str"/>
      <x:c r="J27" s="21" t="str"/>
      <x:c r="K27" s="21" t="str"/>
      <x:c r="L27" s="21" t="str"/>
      <x:c r="M27" s="21" t="str"/>
      <x:c r="N27" s="21" t="str"/>
      <x:c r="O27" s="21" t="str"/>
      <x:c r="P27" s="21" t="str"/>
      <x:c r="Q27" s="21" t="str"/>
      <x:c r="R27" s="21" t="str"/>
      <x:c r="S27" s="21" t="str"/>
      <x:c r="T27" s="21" t="str"/>
      <x:c r="U27" s="21" t="str"/>
      <x:c r="V27" s="21" t="str"/>
      <x:c r="W27" s="21" t="str"/>
    </x:row>
    <x:row r="28" ht="38" customHeight="1">
      <x:c r="A28" s="21" t="str"/>
      <x:c r="B28" s="31" t="str"/>
      <x:c r="C28" s="21" t="str"/>
      <x:c r="D28" s="21" t="str"/>
      <x:c r="E28" s="21" t="str"/>
      <x:c r="F28" s="21" t="str"/>
      <x:c r="G28" s="21" t="str"/>
      <x:c r="H28" s="21" t="str"/>
      <x:c r="I28" s="21" t="str"/>
      <x:c r="J28" s="21" t="str"/>
      <x:c r="K28" s="21" t="str"/>
      <x:c r="L28" s="21" t="str"/>
      <x:c r="M28" s="21" t="str"/>
      <x:c r="N28" s="21" t="str"/>
      <x:c r="O28" s="21" t="str"/>
      <x:c r="P28" s="21" t="str"/>
      <x:c r="Q28" s="21" t="str"/>
      <x:c r="R28" s="21" t="str"/>
      <x:c r="S28" s="21" t="str"/>
      <x:c r="T28" s="21" t="str"/>
      <x:c r="U28" s="21" t="str"/>
      <x:c r="V28" s="21" t="str"/>
      <x:c r="W28" s="21" t="str"/>
    </x:row>
    <x:row r="29" ht="38" customHeight="1">
      <x:c r="A29" s="21" t="str"/>
      <x:c r="B29" s="31" t="str"/>
      <x:c r="C29" s="21" t="str"/>
      <x:c r="D29" s="21" t="str"/>
      <x:c r="E29" s="21" t="str"/>
      <x:c r="F29" s="21" t="str"/>
      <x:c r="G29" s="21" t="str"/>
      <x:c r="H29" s="21" t="str"/>
      <x:c r="I29" s="21" t="str"/>
      <x:c r="J29" s="21" t="str"/>
      <x:c r="K29" s="21" t="str"/>
      <x:c r="L29" s="21" t="str"/>
      <x:c r="M29" s="21" t="str"/>
      <x:c r="N29" s="21" t="str"/>
      <x:c r="O29" s="21" t="str"/>
      <x:c r="P29" s="21" t="str"/>
      <x:c r="Q29" s="21" t="str"/>
      <x:c r="R29" s="21" t="str"/>
      <x:c r="S29" s="21" t="str"/>
      <x:c r="T29" s="21" t="str"/>
      <x:c r="U29" s="21" t="str"/>
      <x:c r="V29" s="21" t="str"/>
      <x:c r="W29" s="21" t="str"/>
    </x:row>
    <x:row r="30" ht="38" customHeight="1">
      <x:c r="A30" s="21" t="str"/>
      <x:c r="B30" s="31" t="str"/>
      <x:c r="C30" s="21" t="str"/>
      <x:c r="D30" s="21" t="str"/>
      <x:c r="E30" s="21" t="str"/>
      <x:c r="F30" s="21" t="str"/>
      <x:c r="G30" s="21" t="str"/>
      <x:c r="H30" s="21" t="str"/>
      <x:c r="I30" s="21" t="str"/>
      <x:c r="J30" s="21" t="str"/>
      <x:c r="K30" s="21" t="str"/>
      <x:c r="L30" s="21" t="str"/>
      <x:c r="M30" s="21" t="str"/>
      <x:c r="N30" s="21" t="str"/>
      <x:c r="O30" s="21" t="str"/>
      <x:c r="P30" s="21" t="str"/>
      <x:c r="Q30" s="21" t="str"/>
      <x:c r="R30" s="21" t="str"/>
      <x:c r="S30" s="21" t="str"/>
      <x:c r="T30" s="21" t="str"/>
      <x:c r="U30" s="21" t="str"/>
      <x:c r="V30" s="21" t="str"/>
      <x:c r="W30" s="21" t="str"/>
    </x:row>
    <x:row r="31" ht="38" customHeight="1">
      <x:c r="A31" s="21" t="str"/>
      <x:c r="B31" s="31" t="str"/>
      <x:c r="C31" s="21" t="str"/>
      <x:c r="D31" s="21" t="str"/>
      <x:c r="E31" s="21" t="str"/>
      <x:c r="F31" s="21" t="str"/>
      <x:c r="G31" s="21" t="str"/>
      <x:c r="H31" s="21" t="str"/>
      <x:c r="I31" s="21" t="str"/>
      <x:c r="J31" s="21" t="str"/>
      <x:c r="K31" s="21" t="str"/>
      <x:c r="L31" s="21" t="str"/>
      <x:c r="M31" s="21" t="str"/>
      <x:c r="N31" s="21" t="str"/>
      <x:c r="O31" s="21" t="str"/>
      <x:c r="P31" s="21" t="str"/>
      <x:c r="Q31" s="21" t="str"/>
      <x:c r="R31" s="21" t="str"/>
      <x:c r="S31" s="21" t="str"/>
      <x:c r="T31" s="21" t="str"/>
      <x:c r="U31" s="21" t="str"/>
      <x:c r="V31" s="21" t="str"/>
      <x:c r="W31" s="21" t="str"/>
    </x:row>
    <x:row r="32" ht="38" customHeight="1">
      <x:c r="A32" s="21" t="str"/>
      <x:c r="B32" s="31" t="str"/>
      <x:c r="C32" s="21" t="str"/>
      <x:c r="D32" s="21" t="str"/>
      <x:c r="E32" s="21" t="str"/>
      <x:c r="F32" s="21" t="str"/>
      <x:c r="G32" s="21" t="str"/>
      <x:c r="H32" s="21" t="str"/>
      <x:c r="I32" s="21" t="str"/>
      <x:c r="J32" s="21" t="str"/>
      <x:c r="K32" s="21" t="str"/>
      <x:c r="L32" s="21" t="str"/>
      <x:c r="M32" s="21" t="str"/>
      <x:c r="N32" s="21" t="str"/>
      <x:c r="O32" s="21" t="str"/>
      <x:c r="P32" s="21" t="str"/>
      <x:c r="Q32" s="21" t="str"/>
      <x:c r="R32" s="21" t="str"/>
      <x:c r="S32" s="21" t="str"/>
      <x:c r="T32" s="21" t="str"/>
      <x:c r="U32" s="21" t="str"/>
      <x:c r="V32" s="21" t="str"/>
      <x:c r="W32" s="21" t="str"/>
    </x:row>
    <x:row r="33" ht="38" customHeight="1">
      <x:c r="A33" s="21" t="str"/>
      <x:c r="B33" s="31" t="str"/>
      <x:c r="C33" s="21" t="str"/>
      <x:c r="D33" s="21" t="str"/>
      <x:c r="E33" s="21" t="str"/>
      <x:c r="F33" s="21" t="str"/>
      <x:c r="G33" s="21" t="str"/>
      <x:c r="H33" s="21" t="str"/>
      <x:c r="I33" s="21" t="str"/>
      <x:c r="J33" s="21" t="str"/>
      <x:c r="K33" s="21" t="str"/>
      <x:c r="L33" s="21" t="str"/>
      <x:c r="M33" s="21" t="str"/>
      <x:c r="N33" s="21" t="str"/>
      <x:c r="O33" s="21" t="str"/>
      <x:c r="P33" s="21" t="str"/>
      <x:c r="Q33" s="21" t="str"/>
      <x:c r="R33" s="21" t="str"/>
      <x:c r="S33" s="21" t="str"/>
      <x:c r="T33" s="21" t="str"/>
      <x:c r="U33" s="21" t="str"/>
      <x:c r="V33" s="21" t="str"/>
      <x:c r="W33" s="21" t="str"/>
    </x:row>
    <x:row r="34" ht="38" customHeight="1">
      <x:c r="A34" s="21" t="str"/>
      <x:c r="B34" s="31" t="str"/>
      <x:c r="C34" s="21" t="str"/>
      <x:c r="D34" s="21" t="str"/>
      <x:c r="E34" s="21" t="str"/>
      <x:c r="F34" s="21" t="str"/>
      <x:c r="G34" s="21" t="str"/>
      <x:c r="H34" s="21" t="str"/>
      <x:c r="I34" s="21" t="str"/>
      <x:c r="J34" s="21" t="str"/>
      <x:c r="K34" s="21" t="str"/>
      <x:c r="L34" s="21" t="str"/>
      <x:c r="M34" s="21" t="str"/>
      <x:c r="N34" s="21" t="str"/>
      <x:c r="O34" s="21" t="str"/>
      <x:c r="P34" s="21" t="str"/>
      <x:c r="Q34" s="21" t="str"/>
      <x:c r="R34" s="21" t="str"/>
      <x:c r="S34" s="21" t="str"/>
      <x:c r="T34" s="21" t="str"/>
      <x:c r="U34" s="21" t="str"/>
      <x:c r="V34" s="21" t="str"/>
      <x:c r="W34" s="21" t="str"/>
    </x:row>
    <x:row r="35" ht="38" customHeight="1">
      <x:c r="A35" s="21" t="str"/>
      <x:c r="B35" s="31" t="str"/>
      <x:c r="C35" s="21" t="str"/>
      <x:c r="D35" s="21" t="str"/>
      <x:c r="E35" s="21" t="str"/>
      <x:c r="F35" s="21" t="str"/>
      <x:c r="G35" s="21" t="str"/>
      <x:c r="H35" s="21" t="str"/>
      <x:c r="I35" s="21" t="str"/>
      <x:c r="J35" s="21" t="str"/>
      <x:c r="K35" s="21" t="str"/>
      <x:c r="L35" s="21" t="str"/>
      <x:c r="M35" s="21" t="str"/>
      <x:c r="N35" s="21" t="str"/>
      <x:c r="O35" s="21" t="str"/>
      <x:c r="P35" s="21" t="str"/>
      <x:c r="Q35" s="21" t="str"/>
      <x:c r="R35" s="21" t="str"/>
      <x:c r="S35" s="21" t="str"/>
      <x:c r="T35" s="21" t="str"/>
      <x:c r="U35" s="21" t="str"/>
      <x:c r="V35" s="21" t="str"/>
      <x:c r="W35" s="21" t="str"/>
    </x:row>
    <x:row r="36" ht="38" customHeight="1">
      <x:c r="A36" s="21" t="str"/>
      <x:c r="B36" s="31" t="str"/>
      <x:c r="C36" s="21" t="str"/>
      <x:c r="D36" s="21" t="str"/>
      <x:c r="E36" s="21" t="str"/>
      <x:c r="F36" s="21" t="str"/>
      <x:c r="G36" s="21" t="str"/>
      <x:c r="H36" s="21" t="str"/>
      <x:c r="I36" s="21" t="str"/>
      <x:c r="J36" s="21" t="str"/>
      <x:c r="K36" s="21" t="str"/>
      <x:c r="L36" s="21" t="str"/>
      <x:c r="M36" s="21" t="str"/>
      <x:c r="N36" s="21" t="str"/>
      <x:c r="O36" s="21" t="str"/>
      <x:c r="P36" s="21" t="str"/>
      <x:c r="Q36" s="21" t="str"/>
      <x:c r="R36" s="21" t="str"/>
      <x:c r="S36" s="21" t="str"/>
      <x:c r="T36" s="21" t="str"/>
      <x:c r="U36" s="21" t="str"/>
      <x:c r="V36" s="21" t="str"/>
      <x:c r="W36" s="21" t="str"/>
    </x:row>
    <x:row r="37" ht="38" customHeight="1">
      <x:c r="A37" s="21" t="str"/>
      <x:c r="B37" s="31" t="str"/>
      <x:c r="C37" s="21" t="str"/>
      <x:c r="D37" s="21" t="str"/>
      <x:c r="E37" s="21" t="str"/>
      <x:c r="F37" s="21" t="str"/>
      <x:c r="G37" s="21" t="str"/>
      <x:c r="H37" s="21" t="str"/>
      <x:c r="I37" s="21" t="str"/>
      <x:c r="J37" s="21" t="str"/>
      <x:c r="K37" s="21" t="str"/>
      <x:c r="L37" s="21" t="str"/>
      <x:c r="M37" s="21" t="str"/>
      <x:c r="N37" s="21" t="str"/>
      <x:c r="O37" s="21" t="str"/>
      <x:c r="P37" s="21" t="str"/>
      <x:c r="Q37" s="21" t="str"/>
      <x:c r="R37" s="21" t="str"/>
      <x:c r="S37" s="21" t="str"/>
      <x:c r="T37" s="21" t="str"/>
      <x:c r="U37" s="21" t="str"/>
      <x:c r="V37" s="21" t="str"/>
      <x:c r="W37" s="21" t="str"/>
    </x:row>
    <x:row r="38" ht="38" customHeight="1">
      <x:c r="A38" s="21" t="str"/>
      <x:c r="B38" s="31" t="str"/>
      <x:c r="C38" s="21" t="str"/>
      <x:c r="D38" s="21" t="str"/>
      <x:c r="E38" s="21" t="str"/>
      <x:c r="F38" s="21" t="str"/>
      <x:c r="G38" s="21" t="str"/>
      <x:c r="H38" s="21" t="str"/>
      <x:c r="I38" s="21" t="str"/>
      <x:c r="J38" s="21" t="str"/>
      <x:c r="K38" s="21" t="str"/>
      <x:c r="L38" s="21" t="str"/>
      <x:c r="M38" s="21" t="str"/>
      <x:c r="N38" s="21" t="str"/>
      <x:c r="O38" s="21" t="str"/>
      <x:c r="P38" s="21" t="str"/>
      <x:c r="Q38" s="21" t="str"/>
      <x:c r="R38" s="21" t="str"/>
      <x:c r="S38" s="21" t="str"/>
      <x:c r="T38" s="21" t="str"/>
      <x:c r="U38" s="21" t="str"/>
      <x:c r="V38" s="21" t="str"/>
      <x:c r="W38" s="21" t="str"/>
    </x:row>
    <x:row r="39" ht="38" customHeight="1">
      <x:c r="A39" s="21" t="str"/>
      <x:c r="B39" s="31" t="str"/>
      <x:c r="C39" s="21" t="str"/>
      <x:c r="D39" s="21" t="str"/>
      <x:c r="E39" s="21" t="str"/>
      <x:c r="F39" s="21" t="str"/>
      <x:c r="G39" s="21" t="str"/>
      <x:c r="H39" s="21" t="str"/>
      <x:c r="I39" s="21" t="str"/>
      <x:c r="J39" s="21" t="str"/>
      <x:c r="K39" s="21" t="str"/>
      <x:c r="L39" s="21" t="str"/>
      <x:c r="M39" s="21" t="str"/>
      <x:c r="N39" s="21" t="str"/>
      <x:c r="O39" s="21" t="str"/>
      <x:c r="P39" s="21" t="str"/>
      <x:c r="Q39" s="21" t="str"/>
      <x:c r="R39" s="21" t="str"/>
      <x:c r="S39" s="21" t="str"/>
      <x:c r="T39" s="21" t="str"/>
      <x:c r="U39" s="21" t="str"/>
      <x:c r="V39" s="21" t="str"/>
      <x:c r="W39" s="21" t="str"/>
    </x:row>
    <x:row r="40" ht="38" customHeight="1">
      <x:c r="A40" s="21" t="str"/>
      <x:c r="B40" s="31" t="str"/>
      <x:c r="C40" s="21" t="str"/>
      <x:c r="D40" s="21" t="str"/>
      <x:c r="E40" s="21" t="str"/>
      <x:c r="F40" s="21" t="str"/>
      <x:c r="G40" s="21" t="str"/>
      <x:c r="H40" s="21" t="str"/>
      <x:c r="I40" s="21" t="str"/>
      <x:c r="J40" s="21" t="str"/>
      <x:c r="K40" s="21" t="str"/>
      <x:c r="L40" s="21" t="str"/>
      <x:c r="M40" s="21" t="str"/>
      <x:c r="N40" s="21" t="str"/>
      <x:c r="O40" s="21" t="str"/>
      <x:c r="P40" s="21" t="str"/>
      <x:c r="Q40" s="21" t="str"/>
      <x:c r="R40" s="21" t="str"/>
      <x:c r="S40" s="21" t="str"/>
      <x:c r="T40" s="21" t="str"/>
      <x:c r="U40" s="21" t="str"/>
      <x:c r="V40" s="21" t="str"/>
      <x:c r="W40" s="21" t="str"/>
    </x:row>
    <x:row r="41" ht="38" customHeight="1">
      <x:c r="A41" s="21" t="str"/>
      <x:c r="B41" s="31" t="str"/>
      <x:c r="C41" s="21" t="str"/>
      <x:c r="D41" s="21" t="str"/>
      <x:c r="E41" s="21" t="str"/>
      <x:c r="F41" s="21" t="str"/>
      <x:c r="G41" s="21" t="str"/>
      <x:c r="H41" s="21" t="str"/>
      <x:c r="I41" s="21" t="str"/>
      <x:c r="J41" s="21" t="str"/>
      <x:c r="K41" s="21" t="str"/>
      <x:c r="L41" s="21" t="str"/>
      <x:c r="M41" s="21" t="str"/>
      <x:c r="N41" s="21" t="str"/>
      <x:c r="O41" s="21" t="str"/>
      <x:c r="P41" s="21" t="str"/>
      <x:c r="Q41" s="21" t="str"/>
      <x:c r="R41" s="21" t="str"/>
      <x:c r="S41" s="21" t="str"/>
      <x:c r="T41" s="21" t="str"/>
      <x:c r="U41" s="21" t="str"/>
      <x:c r="V41" s="21" t="str"/>
      <x:c r="W41" s="21" t="str"/>
    </x:row>
    <x:row r="42" ht="38" customHeight="1">
      <x:c r="A42" s="21" t="str"/>
      <x:c r="B42" s="31" t="str"/>
      <x:c r="C42" s="21" t="str"/>
      <x:c r="D42" s="21" t="str"/>
      <x:c r="E42" s="21" t="str"/>
      <x:c r="F42" s="21" t="str"/>
      <x:c r="G42" s="21" t="str"/>
      <x:c r="H42" s="21" t="str"/>
      <x:c r="I42" s="21" t="str"/>
      <x:c r="J42" s="21" t="str"/>
      <x:c r="K42" s="21" t="str"/>
      <x:c r="L42" s="21" t="str"/>
      <x:c r="M42" s="21" t="str"/>
      <x:c r="N42" s="21" t="str"/>
      <x:c r="O42" s="21" t="str"/>
      <x:c r="P42" s="21" t="str"/>
      <x:c r="Q42" s="21" t="str"/>
      <x:c r="R42" s="21" t="str"/>
      <x:c r="S42" s="21" t="str"/>
      <x:c r="T42" s="21" t="str"/>
      <x:c r="U42" s="21" t="str"/>
      <x:c r="V42" s="21" t="str"/>
      <x:c r="W42" s="21" t="str"/>
    </x:row>
    <x:row r="43" ht="38" customHeight="1">
      <x:c r="A43" s="21" t="str"/>
      <x:c r="B43" s="31" t="str"/>
      <x:c r="C43" s="21" t="str"/>
      <x:c r="D43" s="21" t="str"/>
      <x:c r="E43" s="21" t="str"/>
      <x:c r="F43" s="21" t="str"/>
      <x:c r="G43" s="21" t="str"/>
      <x:c r="H43" s="21" t="str"/>
      <x:c r="I43" s="21" t="str"/>
      <x:c r="J43" s="21" t="str"/>
      <x:c r="K43" s="21" t="str"/>
      <x:c r="L43" s="21" t="str"/>
      <x:c r="M43" s="21" t="str"/>
      <x:c r="N43" s="21" t="str"/>
      <x:c r="O43" s="21" t="str"/>
      <x:c r="P43" s="21" t="str"/>
      <x:c r="Q43" s="21" t="str"/>
      <x:c r="R43" s="21" t="str"/>
      <x:c r="S43" s="21" t="str"/>
      <x:c r="T43" s="21" t="str"/>
      <x:c r="U43" s="21" t="str"/>
      <x:c r="V43" s="21" t="str"/>
      <x:c r="W43" s="21" t="str"/>
    </x:row>
    <x:row r="44" ht="38" customHeight="1">
      <x:c r="A44" s="21" t="str"/>
      <x:c r="B44" s="31" t="str"/>
      <x:c r="C44" s="21" t="str"/>
      <x:c r="D44" s="21" t="str"/>
      <x:c r="E44" s="21" t="str"/>
      <x:c r="F44" s="21" t="str"/>
      <x:c r="G44" s="21" t="str"/>
      <x:c r="H44" s="21" t="str"/>
      <x:c r="I44" s="21" t="str"/>
      <x:c r="J44" s="21" t="str"/>
      <x:c r="K44" s="21" t="str"/>
      <x:c r="L44" s="21" t="str"/>
      <x:c r="M44" s="21" t="str"/>
      <x:c r="N44" s="21" t="str"/>
      <x:c r="O44" s="21" t="str"/>
      <x:c r="P44" s="21" t="str"/>
      <x:c r="Q44" s="21" t="str"/>
      <x:c r="R44" s="21" t="str"/>
      <x:c r="S44" s="21" t="str"/>
      <x:c r="T44" s="21" t="str"/>
      <x:c r="U44" s="21" t="str"/>
      <x:c r="V44" s="21" t="str"/>
      <x:c r="W44" s="21" t="str"/>
    </x:row>
    <x:row r="45" ht="38" customHeight="1">
      <x:c r="A45" s="21" t="str"/>
      <x:c r="B45" s="31" t="str"/>
      <x:c r="C45" s="21" t="str"/>
      <x:c r="D45" s="21" t="str"/>
      <x:c r="E45" s="21" t="str"/>
      <x:c r="F45" s="21" t="str"/>
      <x:c r="G45" s="21" t="str"/>
      <x:c r="H45" s="21" t="str"/>
      <x:c r="I45" s="21" t="str"/>
      <x:c r="J45" s="21" t="str"/>
      <x:c r="K45" s="21" t="str"/>
      <x:c r="L45" s="21" t="str"/>
      <x:c r="M45" s="21" t="str"/>
      <x:c r="N45" s="21" t="str"/>
      <x:c r="O45" s="21" t="str"/>
      <x:c r="P45" s="21" t="str"/>
      <x:c r="Q45" s="21" t="str"/>
      <x:c r="R45" s="21" t="str"/>
      <x:c r="S45" s="21" t="str"/>
      <x:c r="T45" s="21" t="str"/>
      <x:c r="U45" s="21" t="str"/>
      <x:c r="V45" s="21" t="str"/>
      <x:c r="W45" s="21" t="str"/>
    </x:row>
    <x:row r="46" ht="38" customHeight="1">
      <x:c r="A46" s="21" t="str"/>
      <x:c r="B46" s="31" t="str"/>
      <x:c r="C46" s="21" t="str"/>
      <x:c r="D46" s="21" t="str"/>
      <x:c r="E46" s="21" t="str"/>
      <x:c r="F46" s="21" t="str"/>
      <x:c r="G46" s="21" t="str"/>
      <x:c r="H46" s="21" t="str"/>
      <x:c r="I46" s="21" t="str"/>
      <x:c r="J46" s="21" t="str"/>
      <x:c r="K46" s="21" t="str"/>
      <x:c r="L46" s="21" t="str"/>
      <x:c r="M46" s="21" t="str"/>
      <x:c r="N46" s="21" t="str"/>
      <x:c r="O46" s="21" t="str"/>
      <x:c r="P46" s="21" t="str"/>
      <x:c r="Q46" s="21" t="str"/>
      <x:c r="R46" s="21" t="str"/>
      <x:c r="S46" s="21" t="str"/>
      <x:c r="T46" s="21" t="str"/>
      <x:c r="U46" s="21" t="str"/>
      <x:c r="V46" s="21" t="str"/>
      <x:c r="W46" s="21" t="str"/>
    </x:row>
    <x:row r="47" ht="38" customHeight="1">
      <x:c r="A47" s="21" t="str"/>
      <x:c r="B47" s="31" t="str"/>
      <x:c r="C47" s="21" t="str"/>
      <x:c r="D47" s="21" t="str"/>
      <x:c r="E47" s="21" t="str"/>
      <x:c r="F47" s="21" t="str"/>
      <x:c r="G47" s="21" t="str"/>
      <x:c r="H47" s="21" t="str"/>
      <x:c r="I47" s="21" t="str"/>
      <x:c r="J47" s="21" t="str"/>
      <x:c r="K47" s="21" t="str"/>
      <x:c r="L47" s="21" t="str"/>
      <x:c r="M47" s="21" t="str"/>
      <x:c r="N47" s="21" t="str"/>
      <x:c r="O47" s="21" t="str"/>
      <x:c r="P47" s="21" t="str"/>
      <x:c r="Q47" s="21" t="str"/>
      <x:c r="R47" s="21" t="str"/>
      <x:c r="S47" s="21" t="str"/>
      <x:c r="T47" s="21" t="str"/>
      <x:c r="U47" s="21" t="str"/>
      <x:c r="V47" s="21" t="str"/>
      <x:c r="W47" s="21" t="str"/>
    </x:row>
    <x:row r="48" ht="38" customHeight="1">
      <x:c r="A48" s="21" t="str"/>
      <x:c r="B48" s="31" t="str"/>
      <x:c r="C48" s="21" t="str"/>
      <x:c r="D48" s="21" t="str"/>
      <x:c r="E48" s="21" t="str"/>
      <x:c r="F48" s="21" t="str"/>
      <x:c r="G48" s="21" t="str"/>
      <x:c r="H48" s="21" t="str"/>
      <x:c r="I48" s="21" t="str"/>
      <x:c r="J48" s="21" t="str"/>
      <x:c r="K48" s="21" t="str"/>
      <x:c r="L48" s="21" t="str"/>
      <x:c r="M48" s="21" t="str"/>
      <x:c r="N48" s="21" t="str"/>
      <x:c r="O48" s="21" t="str"/>
      <x:c r="P48" s="21" t="str"/>
      <x:c r="Q48" s="21" t="str"/>
      <x:c r="R48" s="21" t="str"/>
      <x:c r="S48" s="21" t="str"/>
      <x:c r="T48" s="21" t="str"/>
      <x:c r="U48" s="21" t="str"/>
      <x:c r="V48" s="21" t="str"/>
      <x:c r="W48" s="21" t="str"/>
    </x:row>
    <x:row r="49" ht="38" customHeight="1">
      <x:c r="A49" s="21" t="str"/>
      <x:c r="B49" s="31" t="str"/>
      <x:c r="C49" s="21" t="str"/>
      <x:c r="D49" s="21" t="str"/>
      <x:c r="E49" s="21" t="str"/>
      <x:c r="F49" s="21" t="str"/>
      <x:c r="G49" s="21" t="str"/>
      <x:c r="H49" s="21" t="str"/>
      <x:c r="I49" s="21" t="str"/>
      <x:c r="J49" s="21" t="str"/>
      <x:c r="K49" s="21" t="str"/>
      <x:c r="L49" s="21" t="str"/>
      <x:c r="M49" s="21" t="str"/>
      <x:c r="N49" s="21" t="str"/>
      <x:c r="O49" s="21" t="str"/>
      <x:c r="P49" s="21" t="str"/>
      <x:c r="Q49" s="21" t="str"/>
      <x:c r="R49" s="21" t="str"/>
      <x:c r="S49" s="21" t="str"/>
      <x:c r="T49" s="21" t="str"/>
      <x:c r="U49" s="21" t="str"/>
      <x:c r="V49" s="21" t="str"/>
      <x:c r="W49" s="21" t="str"/>
    </x:row>
  </x:sheetData>
  <x:mergeCells>
    <x:mergeCell ref="A1:W2"/>
    <x:mergeCell ref="A3:W3"/>
  </x:mergeCells>
  <x:conditionalFormatting sqref="U5:U49">
    <x:cfRule type="containsText" dxfId="30" priority="1" operator="containsText" text="通过"/>
    <x:cfRule type="containsText" dxfId="31" priority="2" operator="containsText" text="有问题"/>
    <x:cfRule type="containsText" dxfId="32" priority="3" operator="containsText" text="待复测"/>
    <x:cfRule type="containsText" dxfId="33" priority="4" operator="containsText" text="未检查"/>
    <x:cfRule type="containsText" dxfId="34" priority="5" operator="containsText" text="不适用"/>
  </x:conditionalFormatting>
  <x:dataValidations count="1">
    <x:dataValidation type="list" sqref="U5:U49">
      <x:formula1>'口径与下拉'!$G$9:$G$13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11feeba2fa46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" hidden="0" customWidth="1"/>
    <x:col min="4" max="4" width="14" hidden="0" customWidth="1"/>
    <x:col min="5" max="5" width="10" hidden="0" customWidth="1"/>
    <x:col min="6" max="6" width="3" hidden="0" customWidth="1"/>
    <x:col min="7" max="7" width="14" hidden="0" customWidth="1"/>
    <x:col min="8" max="8" width="28" hidden="0" customWidth="1"/>
    <x:col min="9" max="9" width="3" hidden="0" customWidth="1"/>
    <x:col min="10" max="10" width="14" hidden="0" customWidth="1"/>
    <x:col min="11" max="11" width="10" hidden="0" customWidth="1"/>
    <x:col min="12" max="12" width="14" hidden="0" customWidth="1"/>
    <x:col min="13" max="13" width="3" hidden="0" customWidth="1"/>
    <x:col min="14" max="14" width="14" hidden="0" customWidth="1"/>
    <x:col min="15" max="15" width="3" hidden="0" customWidth="1"/>
    <x:col min="16" max="16" width="18" hidden="0" customWidth="1"/>
    <x:col min="17" max="17" width="3" hidden="0" customWidth="1"/>
    <x:col min="18" max="18" width="18" hidden="0" customWidth="1"/>
    <x:col min="19" max="19" width="3" hidden="0" customWidth="1"/>
    <x:col min="20" max="20" width="14" hidden="0" customWidth="1"/>
    <x:col min="21" max="21" width="3" hidden="0" customWidth="1"/>
    <x:col min="22" max="22" width="18" hidden="0" customWidth="1"/>
    <x:col min="23" max="23" width="3" hidden="0" customWidth="1"/>
    <x:col min="24" max="24" width="16" hidden="0" customWidth="1"/>
    <x:col min="25" max="25" width="3" hidden="0" customWidth="1"/>
  </x:cols>
  <x:sheetData>
    <x:row r="1" ht="34" customHeight="1">
      <x:c r="A1" s="4" t="str">
        <x:v>使用说明、评级口径与下拉选项</x:v>
      </x:c>
      <x:c r="B1" s="4" t="str">
        <x:v>使用说明、评级口径与下拉选项</x:v>
      </x:c>
      <x:c r="C1" s="4" t="str">
        <x:v>使用说明、评级口径与下拉选项</x:v>
      </x:c>
      <x:c r="D1" s="4" t="str">
        <x:v>使用说明、评级口径与下拉选项</x:v>
      </x:c>
      <x:c r="E1" s="4" t="str">
        <x:v>使用说明、评级口径与下拉选项</x:v>
      </x:c>
      <x:c r="F1" s="4" t="str">
        <x:v>使用说明、评级口径与下拉选项</x:v>
      </x:c>
      <x:c r="G1" s="4" t="str">
        <x:v>使用说明、评级口径与下拉选项</x:v>
      </x:c>
      <x:c r="H1" s="4" t="str">
        <x:v>使用说明、评级口径与下拉选项</x:v>
      </x:c>
      <x:c r="I1" s="4" t="str">
        <x:v>使用说明、评级口径与下拉选项</x:v>
      </x:c>
      <x:c r="J1" s="4" t="str">
        <x:v>使用说明、评级口径与下拉选项</x:v>
      </x:c>
      <x:c r="K1" s="4" t="str">
        <x:v>使用说明、评级口径与下拉选项</x:v>
      </x:c>
      <x:c r="L1" s="4" t="str">
        <x:v>使用说明、评级口径与下拉选项</x:v>
      </x:c>
      <x:c r="M1" s="4" t="str">
        <x:v>使用说明、评级口径与下拉选项</x:v>
      </x:c>
      <x:c r="N1" s="4" t="str">
        <x:v>使用说明、评级口径与下拉选项</x:v>
      </x:c>
      <x:c r="O1" s="4" t="str">
        <x:v>使用说明、评级口径与下拉选项</x:v>
      </x:c>
      <x:c r="P1" s="4" t="str">
        <x:v>使用说明、评级口径与下拉选项</x:v>
      </x:c>
      <x:c r="Q1" s="4" t="str">
        <x:v>使用说明、评级口径与下拉选项</x:v>
      </x:c>
      <x:c r="R1" s="4" t="str">
        <x:v>使用说明、评级口径与下拉选项</x:v>
      </x:c>
      <x:c r="S1" s="4" t="str">
        <x:v>使用说明、评级口径与下拉选项</x:v>
      </x:c>
      <x:c r="T1" s="4" t="str">
        <x:v>使用说明、评级口径与下拉选项</x:v>
      </x:c>
      <x:c r="U1" s="4" t="str">
        <x:v>使用说明、评级口径与下拉选项</x:v>
      </x:c>
      <x:c r="V1" s="4" t="str">
        <x:v>使用说明、评级口径与下拉选项</x:v>
      </x:c>
      <x:c r="W1" s="4" t="str">
        <x:v>使用说明、评级口径与下拉选项</x:v>
      </x:c>
      <x:c r="X1" s="4" t="str">
        <x:v>使用说明、评级口径与下拉选项</x:v>
      </x:c>
      <x:c r="Y1" s="4" t="str">
        <x:v>使用说明、评级口径与下拉选项</x:v>
      </x:c>
    </x:row>
    <x:row r="2" ht="34" customHeight="1">
      <x:c r="A2" s="4" t="str">
        <x:v>使用说明、评级口径与下拉选项</x:v>
      </x:c>
      <x:c r="B2" s="4" t="str">
        <x:v>使用说明、评级口径与下拉选项</x:v>
      </x:c>
      <x:c r="C2" s="4" t="str">
        <x:v>使用说明、评级口径与下拉选项</x:v>
      </x:c>
      <x:c r="D2" s="4" t="str">
        <x:v>使用说明、评级口径与下拉选项</x:v>
      </x:c>
      <x:c r="E2" s="4" t="str">
        <x:v>使用说明、评级口径与下拉选项</x:v>
      </x:c>
      <x:c r="F2" s="4" t="str">
        <x:v>使用说明、评级口径与下拉选项</x:v>
      </x:c>
      <x:c r="G2" s="4" t="str">
        <x:v>使用说明、评级口径与下拉选项</x:v>
      </x:c>
      <x:c r="H2" s="4" t="str">
        <x:v>使用说明、评级口径与下拉选项</x:v>
      </x:c>
      <x:c r="I2" s="4" t="str">
        <x:v>使用说明、评级口径与下拉选项</x:v>
      </x:c>
      <x:c r="J2" s="4" t="str">
        <x:v>使用说明、评级口径与下拉选项</x:v>
      </x:c>
      <x:c r="K2" s="4" t="str">
        <x:v>使用说明、评级口径与下拉选项</x:v>
      </x:c>
      <x:c r="L2" s="4" t="str">
        <x:v>使用说明、评级口径与下拉选项</x:v>
      </x:c>
      <x:c r="M2" s="4" t="str">
        <x:v>使用说明、评级口径与下拉选项</x:v>
      </x:c>
      <x:c r="N2" s="4" t="str">
        <x:v>使用说明、评级口径与下拉选项</x:v>
      </x:c>
      <x:c r="O2" s="4" t="str">
        <x:v>使用说明、评级口径与下拉选项</x:v>
      </x:c>
      <x:c r="P2" s="4" t="str">
        <x:v>使用说明、评级口径与下拉选项</x:v>
      </x:c>
      <x:c r="Q2" s="4" t="str">
        <x:v>使用说明、评级口径与下拉选项</x:v>
      </x:c>
      <x:c r="R2" s="4" t="str">
        <x:v>使用说明、评级口径与下拉选项</x:v>
      </x:c>
      <x:c r="S2" s="4" t="str">
        <x:v>使用说明、评级口径与下拉选项</x:v>
      </x:c>
      <x:c r="T2" s="4" t="str">
        <x:v>使用说明、评级口径与下拉选项</x:v>
      </x:c>
      <x:c r="U2" s="4" t="str">
        <x:v>使用说明、评级口径与下拉选项</x:v>
      </x:c>
      <x:c r="V2" s="4" t="str">
        <x:v>使用说明、评级口径与下拉选项</x:v>
      </x:c>
      <x:c r="W2" s="4" t="str">
        <x:v>使用说明、评级口径与下拉选项</x:v>
      </x:c>
      <x:c r="X2" s="4" t="str">
        <x:v>使用说明、评级口径与下拉选项</x:v>
      </x:c>
      <x:c r="Y2" s="4" t="str">
        <x:v>使用说明、评级口径与下拉选项</x:v>
      </x:c>
    </x:row>
    <x:row r="3" ht="34" customHeight="1">
      <x:c r="A3" s="8" t="str">
        <x:v>浅米色字段为说明/输入区，黄色字段为评级输入或公式区。不要直接覆盖风险分与优先级公式；如需改变阈值，请修改下方映射后同步公式规则。</x:v>
      </x:c>
      <x:c r="B3" s="8" t="str">
        <x:v>浅米色字段为说明/输入区，黄色字段为评级输入或公式区。不要直接覆盖风险分与优先级公式；如需改变阈值，请修改下方映射后同步公式规则。</x:v>
      </x:c>
      <x:c r="C3" s="8" t="str">
        <x:v>浅米色字段为说明/输入区，黄色字段为评级输入或公式区。不要直接覆盖风险分与优先级公式；如需改变阈值，请修改下方映射后同步公式规则。</x:v>
      </x:c>
      <x:c r="D3" s="8" t="str">
        <x:v>浅米色字段为说明/输入区，黄色字段为评级输入或公式区。不要直接覆盖风险分与优先级公式；如需改变阈值，请修改下方映射后同步公式规则。</x:v>
      </x:c>
      <x:c r="E3" s="8" t="str">
        <x:v>浅米色字段为说明/输入区，黄色字段为评级输入或公式区。不要直接覆盖风险分与优先级公式；如需改变阈值，请修改下方映射后同步公式规则。</x:v>
      </x:c>
      <x:c r="F3" s="8" t="str">
        <x:v>浅米色字段为说明/输入区，黄色字段为评级输入或公式区。不要直接覆盖风险分与优先级公式；如需改变阈值，请修改下方映射后同步公式规则。</x:v>
      </x:c>
      <x:c r="G3" s="8" t="str">
        <x:v>浅米色字段为说明/输入区，黄色字段为评级输入或公式区。不要直接覆盖风险分与优先级公式；如需改变阈值，请修改下方映射后同步公式规则。</x:v>
      </x:c>
      <x:c r="H3" s="8" t="str">
        <x:v>浅米色字段为说明/输入区，黄色字段为评级输入或公式区。不要直接覆盖风险分与优先级公式；如需改变阈值，请修改下方映射后同步公式规则。</x:v>
      </x:c>
      <x:c r="I3" s="8" t="str">
        <x:v>浅米色字段为说明/输入区，黄色字段为评级输入或公式区。不要直接覆盖风险分与优先级公式；如需改变阈值，请修改下方映射后同步公式规则。</x:v>
      </x:c>
      <x:c r="J3" s="8" t="str">
        <x:v>浅米色字段为说明/输入区，黄色字段为评级输入或公式区。不要直接覆盖风险分与优先级公式；如需改变阈值，请修改下方映射后同步公式规则。</x:v>
      </x:c>
      <x:c r="K3" s="8" t="str">
        <x:v>浅米色字段为说明/输入区，黄色字段为评级输入或公式区。不要直接覆盖风险分与优先级公式；如需改变阈值，请修改下方映射后同步公式规则。</x:v>
      </x:c>
      <x:c r="L3" s="8" t="str">
        <x:v>浅米色字段为说明/输入区，黄色字段为评级输入或公式区。不要直接覆盖风险分与优先级公式；如需改变阈值，请修改下方映射后同步公式规则。</x:v>
      </x:c>
      <x:c r="M3" s="8" t="str">
        <x:v>浅米色字段为说明/输入区，黄色字段为评级输入或公式区。不要直接覆盖风险分与优先级公式；如需改变阈值，请修改下方映射后同步公式规则。</x:v>
      </x:c>
      <x:c r="N3" s="8" t="str">
        <x:v>浅米色字段为说明/输入区，黄色字段为评级输入或公式区。不要直接覆盖风险分与优先级公式；如需改变阈值，请修改下方映射后同步公式规则。</x:v>
      </x:c>
      <x:c r="O3" s="8" t="str">
        <x:v>浅米色字段为说明/输入区，黄色字段为评级输入或公式区。不要直接覆盖风险分与优先级公式；如需改变阈值，请修改下方映射后同步公式规则。</x:v>
      </x:c>
      <x:c r="P3" s="8" t="str">
        <x:v>浅米色字段为说明/输入区，黄色字段为评级输入或公式区。不要直接覆盖风险分与优先级公式；如需改变阈值，请修改下方映射后同步公式规则。</x:v>
      </x:c>
      <x:c r="Q3" s="8" t="str">
        <x:v>浅米色字段为说明/输入区，黄色字段为评级输入或公式区。不要直接覆盖风险分与优先级公式；如需改变阈值，请修改下方映射后同步公式规则。</x:v>
      </x:c>
      <x:c r="R3" s="8" t="str">
        <x:v>浅米色字段为说明/输入区，黄色字段为评级输入或公式区。不要直接覆盖风险分与优先级公式；如需改变阈值，请修改下方映射后同步公式规则。</x:v>
      </x:c>
      <x:c r="S3" s="8" t="str">
        <x:v>浅米色字段为说明/输入区，黄色字段为评级输入或公式区。不要直接覆盖风险分与优先级公式；如需改变阈值，请修改下方映射后同步公式规则。</x:v>
      </x:c>
      <x:c r="T3" s="8" t="str">
        <x:v>浅米色字段为说明/输入区，黄色字段为评级输入或公式区。不要直接覆盖风险分与优先级公式；如需改变阈值，请修改下方映射后同步公式规则。</x:v>
      </x:c>
      <x:c r="U3" s="8" t="str">
        <x:v>浅米色字段为说明/输入区，黄色字段为评级输入或公式区。不要直接覆盖风险分与优先级公式；如需改变阈值，请修改下方映射后同步公式规则。</x:v>
      </x:c>
      <x:c r="V3" s="8" t="str">
        <x:v>浅米色字段为说明/输入区，黄色字段为评级输入或公式区。不要直接覆盖风险分与优先级公式；如需改变阈值，请修改下方映射后同步公式规则。</x:v>
      </x:c>
      <x:c r="W3" s="8" t="str">
        <x:v>浅米色字段为说明/输入区，黄色字段为评级输入或公式区。不要直接覆盖风险分与优先级公式；如需改变阈值，请修改下方映射后同步公式规则。</x:v>
      </x:c>
      <x:c r="X3" s="8" t="str">
        <x:v>浅米色字段为说明/输入区，黄色字段为评级输入或公式区。不要直接覆盖风险分与优先级公式；如需改变阈值，请修改下方映射后同步公式规则。</x:v>
      </x:c>
      <x:c r="Y3" s="8" t="str">
        <x:v>浅米色字段为说明/输入区，黄色字段为评级输入或公式区。不要直接覆盖风险分与优先级公式；如需改变阈值，请修改下方映射后同步公式规则。</x:v>
      </x:c>
    </x:row>
    <x:row r="5" ht="30" customHeight="1">
      <x:c r="A5" s="48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B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C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D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E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F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G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H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I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J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K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L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M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N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O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P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Q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R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S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T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U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V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W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X5" s="49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Y5" s="50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</x:row>
    <x:row r="6" ht="30" customHeight="1">
      <x:c r="A6" s="51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B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C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D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E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F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G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H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I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J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K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L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M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N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O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P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Q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R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S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T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U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V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W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X6" s="52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  <x:c r="Y6" s="53" t="str">
        <x:v>推荐流程：① 场景矩阵逐屏跑正常/异常路径 → ② 审查清单填状态与证据 → ③ 有问题项登记问题单 → ④ 用可用性、数值、性能表补实测 → ⑤ 看板按维度收敛 → ⑥ 修复后填写复测版本、结论和遗留风险。严重度回答“坏到什么程度”，频率回答“多容易遇到”，体验影响分回答“对玩家感受/行为影响多大”。</x:v>
      </x:c>
    </x:row>
    <x:row r="8" ht="32" customHeight="1">
      <x:c r="A8" s="14" t="str">
        <x:v>严重度</x:v>
      </x:c>
      <x:c r="B8" s="14" t="str">
        <x:v>权重</x:v>
      </x:c>
      <x:c r="D8" s="14" t="str">
        <x:v>发生频率</x:v>
      </x:c>
      <x:c r="E8" s="14" t="str">
        <x:v>权重</x:v>
      </x:c>
      <x:c r="G8" s="14" t="str">
        <x:v>审查状态</x:v>
      </x:c>
      <x:c r="H8" s="14" t="str">
        <x:v>说明</x:v>
      </x:c>
      <x:c r="J8" s="14" t="str">
        <x:v>修复成本</x:v>
      </x:c>
      <x:c r="L8" s="14" t="str">
        <x:v>复测结论</x:v>
      </x:c>
      <x:c r="N8" s="14" t="str">
        <x:v>玩家阶段</x:v>
      </x:c>
      <x:c r="P8" s="14" t="str">
        <x:v>平台/视口</x:v>
      </x:c>
      <x:c r="R8" s="14" t="str">
        <x:v>体验影响面</x:v>
      </x:c>
      <x:c r="T8" s="14" t="str">
        <x:v>问题状态</x:v>
      </x:c>
      <x:c r="V8" s="14" t="str">
        <x:v>用户类型</x:v>
      </x:c>
      <x:c r="X8" s="14" t="str">
        <x:v>任务完成结果</x:v>
      </x:c>
    </x:row>
    <x:row r="9">
      <x:c r="A9" s="20" t="str">
        <x:v>S0 阻断</x:v>
      </x:c>
      <x:c r="B9" s="20" t="n">
        <x:v>5</x:v>
      </x:c>
      <x:c r="C9" s="20"/>
      <x:c r="D9" s="20" t="str">
        <x:v>必现</x:v>
      </x:c>
      <x:c r="E9" s="20" t="n">
        <x:v>5</x:v>
      </x:c>
      <x:c r="F9" s="20"/>
      <x:c r="G9" s="20" t="str">
        <x:v>未检查</x:v>
      </x:c>
      <x:c r="H9" s="20" t="str">
        <x:v>尚未执行</x:v>
      </x:c>
      <x:c r="I9" s="20"/>
      <x:c r="J9" s="20" t="str">
        <x:v>XS</x:v>
      </x:c>
      <x:c r="K9" s="20"/>
      <x:c r="L9" s="20" t="str">
        <x:v>未复测</x:v>
      </x:c>
      <x:c r="M9" s="20"/>
      <x:c r="N9" s="20" t="str">
        <x:v>首局</x:v>
      </x:c>
      <x:c r="O9" s="20"/>
      <x:c r="P9" s="20" t="str">
        <x:v>全平台</x:v>
      </x:c>
      <x:c r="Q9" s="20"/>
      <x:c r="R9" s="20" t="str">
        <x:v>理解/导航</x:v>
      </x:c>
      <x:c r="S9" s="20"/>
      <x:c r="T9" s="20" t="str">
        <x:v>待确认</x:v>
      </x:c>
      <x:c r="U9" s="20"/>
      <x:c r="V9" s="20" t="str">
        <x:v>首次接触</x:v>
      </x:c>
      <x:c r="W9" s="20"/>
      <x:c r="X9" s="20" t="str">
        <x:v>成功</x:v>
      </x:c>
      <x:c r="Y9" s="20"/>
    </x:row>
    <x:row r="10">
      <x:c r="A10" s="21" t="str">
        <x:v>S1 严重</x:v>
      </x:c>
      <x:c r="B10" s="21" t="n">
        <x:v>4</x:v>
      </x:c>
      <x:c r="C10" s="21"/>
      <x:c r="D10" s="21" t="str">
        <x:v>高频</x:v>
      </x:c>
      <x:c r="E10" s="21" t="n">
        <x:v>4</x:v>
      </x:c>
      <x:c r="F10" s="21"/>
      <x:c r="G10" s="21" t="str">
        <x:v>通过</x:v>
      </x:c>
      <x:c r="H10" s="21" t="str">
        <x:v>有证据且满足标准</x:v>
      </x:c>
      <x:c r="I10" s="21"/>
      <x:c r="J10" s="21" t="str">
        <x:v>S</x:v>
      </x:c>
      <x:c r="K10" s="21"/>
      <x:c r="L10" s="21" t="str">
        <x:v>通过</x:v>
      </x:c>
      <x:c r="M10" s="21"/>
      <x:c r="N10" s="21" t="str">
        <x:v>首日</x:v>
      </x:c>
      <x:c r="O10" s="21"/>
      <x:c r="P10" s="21" t="str">
        <x:v>H5移动竖屏</x:v>
      </x:c>
      <x:c r="Q10" s="21"/>
      <x:c r="R10" s="21" t="str">
        <x:v>操作/手感</x:v>
      </x:c>
      <x:c r="S10" s="21"/>
      <x:c r="T10" s="21" t="str">
        <x:v>已确认</x:v>
      </x:c>
      <x:c r="U10" s="21"/>
      <x:c r="V10" s="21" t="str">
        <x:v>休闲合成玩家</x:v>
      </x:c>
      <x:c r="W10" s="21"/>
      <x:c r="X10" s="21" t="str">
        <x:v>部分完成</x:v>
      </x:c>
      <x:c r="Y10" s="21"/>
    </x:row>
    <x:row r="11">
      <x:c r="A11" s="21" t="str">
        <x:v>S2 主要</x:v>
      </x:c>
      <x:c r="B11" s="21" t="n">
        <x:v>3</x:v>
      </x:c>
      <x:c r="C11" s="21"/>
      <x:c r="D11" s="21" t="str">
        <x:v>偶现</x:v>
      </x:c>
      <x:c r="E11" s="21" t="n">
        <x:v>3</x:v>
      </x:c>
      <x:c r="F11" s="21"/>
      <x:c r="G11" s="21" t="str">
        <x:v>有问题</x:v>
      </x:c>
      <x:c r="H11" s="21" t="str">
        <x:v>已确认影响体验</x:v>
      </x:c>
      <x:c r="I11" s="21"/>
      <x:c r="J11" s="21" t="str">
        <x:v>M</x:v>
      </x:c>
      <x:c r="K11" s="21"/>
      <x:c r="L11" s="21" t="str">
        <x:v>未通过</x:v>
      </x:c>
      <x:c r="M11" s="21"/>
      <x:c r="N11" s="21" t="str">
        <x:v>首周</x:v>
      </x:c>
      <x:c r="O11" s="21"/>
      <x:c r="P11" s="21" t="str">
        <x:v>H5横屏</x:v>
      </x:c>
      <x:c r="Q11" s="21"/>
      <x:c r="R11" s="21" t="str">
        <x:v>情绪/品牌</x:v>
      </x:c>
      <x:c r="S11" s="21"/>
      <x:c r="T11" s="21" t="str">
        <x:v>修复中</x:v>
      </x:c>
      <x:c r="U11" s="21"/>
      <x:c r="V11" s="21" t="str">
        <x:v>治愈收集玩家</x:v>
      </x:c>
      <x:c r="W11" s="21"/>
      <x:c r="X11" s="21" t="str">
        <x:v>失败</x:v>
      </x:c>
      <x:c r="Y11" s="21"/>
    </x:row>
    <x:row r="12">
      <x:c r="A12" s="21" t="str">
        <x:v>S3 一般</x:v>
      </x:c>
      <x:c r="B12" s="21" t="n">
        <x:v>2</x:v>
      </x:c>
      <x:c r="C12" s="21"/>
      <x:c r="D12" s="21" t="str">
        <x:v>低频</x:v>
      </x:c>
      <x:c r="E12" s="21" t="n">
        <x:v>2</x:v>
      </x:c>
      <x:c r="F12" s="21"/>
      <x:c r="G12" s="21" t="str">
        <x:v>待复测</x:v>
      </x:c>
      <x:c r="H12" s="21" t="str">
        <x:v>已修复或待验证</x:v>
      </x:c>
      <x:c r="I12" s="21"/>
      <x:c r="J12" s="21" t="str">
        <x:v>L</x:v>
      </x:c>
      <x:c r="K12" s="21"/>
      <x:c r="L12" s="21" t="str">
        <x:v>阻塞</x:v>
      </x:c>
      <x:c r="M12" s="21"/>
      <x:c r="N12" s="21" t="str">
        <x:v>中期</x:v>
      </x:c>
      <x:c r="O12" s="21"/>
      <x:c r="P12" s="21" t="str">
        <x:v>桌面浏览器</x:v>
      </x:c>
      <x:c r="Q12" s="21"/>
      <x:c r="R12" s="21" t="str">
        <x:v>核心玩法</x:v>
      </x:c>
      <x:c r="S12" s="21"/>
      <x:c r="T12" s="21" t="str">
        <x:v>待复测</x:v>
      </x:c>
      <x:c r="U12" s="21"/>
      <x:c r="V12" s="21" t="str">
        <x:v>回流玩家</x:v>
      </x:c>
      <x:c r="W12" s="21"/>
      <x:c r="X12" s="21"/>
      <x:c r="Y12" s="21"/>
    </x:row>
    <x:row r="13">
      <x:c r="A13" s="21" t="str">
        <x:v>S4 细微</x:v>
      </x:c>
      <x:c r="B13" s="21" t="n">
        <x:v>1</x:v>
      </x:c>
      <x:c r="C13" s="21"/>
      <x:c r="D13" s="21" t="str">
        <x:v>仅特定条件</x:v>
      </x:c>
      <x:c r="E13" s="21" t="n">
        <x:v>1</x:v>
      </x:c>
      <x:c r="F13" s="21"/>
      <x:c r="G13" s="21" t="str">
        <x:v>不适用</x:v>
      </x:c>
      <x:c r="H13" s="21" t="str">
        <x:v>需在备注说明原因</x:v>
      </x:c>
      <x:c r="I13" s="21"/>
      <x:c r="J13" s="21" t="str">
        <x:v>XL</x:v>
      </x:c>
      <x:c r="K13" s="21"/>
      <x:c r="L13" s="21"/>
      <x:c r="M13" s="21"/>
      <x:c r="N13" s="21" t="str">
        <x:v>长期</x:v>
      </x:c>
      <x:c r="O13" s="21"/>
      <x:c r="P13" s="21" t="str">
        <x:v>TapTap</x:v>
      </x:c>
      <x:c r="Q13" s="21"/>
      <x:c r="R13" s="21" t="str">
        <x:v>数值/经济</x:v>
      </x:c>
      <x:c r="S13" s="21"/>
      <x:c r="T13" s="21" t="str">
        <x:v>已关闭</x:v>
      </x:c>
      <x:c r="U13" s="21"/>
      <x:c r="V13" s="21"/>
      <x:c r="W13" s="21"/>
      <x:c r="X13" s="21"/>
      <x:c r="Y13" s="21"/>
    </x:row>
    <x:row r="14">
      <x:c r="A14" s="21" t="str">
        <x:v>未确认</x:v>
      </x:c>
      <x:c r="B14" s="21" t="n">
        <x:v>0</x:v>
      </x:c>
      <x:c r="C14" s="21"/>
      <x:c r="D14" s="21" t="str">
        <x:v>未确认</x:v>
      </x:c>
      <x:c r="E14" s="21" t="n">
        <x:v>0</x:v>
      </x:c>
      <x:c r="F14" s="21"/>
      <x:c r="G14" s="21"/>
      <x:c r="H14" s="21"/>
      <x:c r="I14" s="21"/>
      <x:c r="J14" s="21"/>
      <x:c r="K14" s="21"/>
      <x:c r="L14" s="21"/>
      <x:c r="M14" s="21"/>
      <x:c r="N14" s="21" t="str">
        <x:v>回流</x:v>
      </x:c>
      <x:c r="O14" s="21"/>
      <x:c r="P14" s="21" t="str">
        <x:v>弱网/离线</x:v>
      </x:c>
      <x:c r="Q14" s="21"/>
      <x:c r="R14" s="21" t="str">
        <x:v>数据/信任</x:v>
      </x:c>
      <x:c r="S14" s="21"/>
      <x:c r="T14" s="21" t="str">
        <x:v>暂缓</x:v>
      </x:c>
      <x:c r="U14" s="21"/>
      <x:c r="V14" s="21"/>
      <x:c r="W14" s="21"/>
      <x:c r="X14" s="21"/>
      <x:c r="Y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 t="str">
        <x:v>全流程</x:v>
      </x:c>
      <x:c r="O15" s="21"/>
      <x:c r="P15" s="21" t="str">
        <x:v>辅助功能</x:v>
      </x:c>
      <x:c r="Q15" s="21"/>
      <x:c r="R15" s="21" t="str">
        <x:v>性能/稳定性</x:v>
      </x:c>
      <x:c r="S15" s="21"/>
      <x:c r="T15" s="21" t="str">
        <x:v>不修复</x:v>
      </x:c>
      <x:c r="U15" s="21"/>
      <x:c r="V15" s="21"/>
      <x:c r="W15" s="21"/>
      <x:c r="X15" s="21"/>
      <x:c r="Y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 t="str">
        <x:v>隐私/合规</x:v>
      </x:c>
      <x:c r="S16" s="21"/>
      <x:c r="T16" s="21"/>
      <x:c r="U16" s="21"/>
      <x:c r="V16" s="21"/>
      <x:c r="W16" s="21"/>
      <x:c r="X16" s="21"/>
      <x:c r="Y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 t="str">
        <x:v>留存/传播</x:v>
      </x:c>
      <x:c r="S17" s="21"/>
      <x:c r="T17" s="21"/>
      <x:c r="U17" s="21"/>
      <x:c r="V17" s="21"/>
      <x:c r="W17" s="21"/>
      <x:c r="X17" s="21"/>
      <x:c r="Y17" s="21"/>
    </x:row>
    <x:row r="19" ht="32" customHeight="1">
      <x:c r="A19" s="14" t="str">
        <x:v>严重度判定</x:v>
      </x:c>
      <x:c r="B19" s="14" t="str">
        <x:v>严重度判定</x:v>
      </x:c>
      <x:c r="C19" s="14" t="str">
        <x:v>严重度判定</x:v>
      </x:c>
      <x:c r="D19" s="14" t="str">
        <x:v>严重度判定</x:v>
      </x:c>
      <x:c r="E19" s="14" t="str">
        <x:v>严重度判定</x:v>
      </x:c>
      <x:c r="F19" s="14" t="str">
        <x:v>严重度判定</x:v>
      </x:c>
      <x:c r="G19" s="14" t="str">
        <x:v>严重度判定</x:v>
      </x:c>
      <x:c r="H19" s="14" t="str">
        <x:v>严重度判定</x:v>
      </x:c>
      <x:c r="J19" s="14" t="str">
        <x:v>风险分与优先级</x:v>
      </x:c>
      <x:c r="K19" s="14" t="str">
        <x:v>风险分与优先级</x:v>
      </x:c>
      <x:c r="L19" s="14" t="str">
        <x:v>风险分与优先级</x:v>
      </x:c>
      <x:c r="M19" s="14" t="str">
        <x:v>风险分与优先级</x:v>
      </x:c>
      <x:c r="N19" s="14" t="str">
        <x:v>风险分与优先级</x:v>
      </x:c>
      <x:c r="O19" s="14" t="str">
        <x:v>风险分与优先级</x:v>
      </x:c>
      <x:c r="P19" s="14" t="str">
        <x:v>风险分与优先级</x:v>
      </x:c>
      <x:c r="Q19" s="14" t="str">
        <x:v>风险分与优先级</x:v>
      </x:c>
    </x:row>
    <x:row r="20">
      <x:c r="A20" s="20" t="str">
        <x:v>S0 阻断</x:v>
      </x:c>
      <x:c r="B20" s="20" t="str">
        <x:v>无法启动/继续、严重丢档、核心流程完全不可完成、重大安全隐私风险</x:v>
      </x:c>
      <x:c r="C20" s="20" t="str"/>
      <x:c r="D20" s="20" t="str"/>
      <x:c r="E20" s="20" t="str"/>
      <x:c r="F20" s="20" t="str"/>
      <x:c r="G20" s="20" t="str"/>
      <x:c r="H20" s="20" t="str"/>
      <x:c r="J20" s="20" t="str">
        <x:v>P0</x:v>
      </x:c>
      <x:c r="K20" s="20" t="str">
        <x:v>13–15</x:v>
      </x:c>
      <x:c r="L20" s="20" t="str">
        <x:v>立即处理；阻断发布/核心任务</x:v>
      </x:c>
      <x:c r="M20" s="20" t="str"/>
      <x:c r="N20" s="20" t="str"/>
      <x:c r="O20" s="20" t="str"/>
      <x:c r="P20" s="20" t="str"/>
      <x:c r="Q20" s="20" t="str"/>
    </x:row>
    <x:row r="21">
      <x:c r="A21" s="21" t="str">
        <x:v>S1 严重</x:v>
      </x:c>
      <x:c r="B21" s="21" t="str">
        <x:v>大批玩家核心流程受阻、重复扣费/发奖、关键数据错误、无安全恢复路径</x:v>
      </x:c>
      <x:c r="C21" s="21" t="str"/>
      <x:c r="D21" s="21" t="str"/>
      <x:c r="E21" s="21" t="str"/>
      <x:c r="F21" s="21" t="str"/>
      <x:c r="G21" s="21" t="str"/>
      <x:c r="H21" s="21" t="str"/>
      <x:c r="J21" s="21" t="str">
        <x:v>P1</x:v>
      </x:c>
      <x:c r="K21" s="21" t="str">
        <x:v>10–12</x:v>
      </x:c>
      <x:c r="L21" s="21" t="str">
        <x:v>本迭代优先；高影响高频问题</x:v>
      </x:c>
      <x:c r="M21" s="21" t="str"/>
      <x:c r="N21" s="21" t="str"/>
      <x:c r="O21" s="21" t="str"/>
      <x:c r="P21" s="21" t="str"/>
      <x:c r="Q21" s="21" t="str"/>
    </x:row>
    <x:row r="22">
      <x:c r="A22" s="21" t="str">
        <x:v>S2 主要</x:v>
      </x:c>
      <x:c r="B22" s="21" t="str">
        <x:v>重要功能明显受损或高频困惑，但存在绕行路径</x:v>
      </x:c>
      <x:c r="C22" s="21" t="str"/>
      <x:c r="D22" s="21" t="str"/>
      <x:c r="E22" s="21" t="str"/>
      <x:c r="F22" s="21" t="str"/>
      <x:c r="G22" s="21" t="str"/>
      <x:c r="H22" s="21" t="str"/>
      <x:c r="J22" s="21" t="str">
        <x:v>P2</x:v>
      </x:c>
      <x:c r="K22" s="21" t="str">
        <x:v>7–9</x:v>
      </x:c>
      <x:c r="L22" s="21" t="str">
        <x:v>排入近期版本；重要但可绕行</x:v>
      </x:c>
      <x:c r="M22" s="21" t="str"/>
      <x:c r="N22" s="21" t="str"/>
      <x:c r="O22" s="21" t="str"/>
      <x:c r="P22" s="21" t="str"/>
      <x:c r="Q22" s="21" t="str"/>
    </x:row>
    <x:row r="23">
      <x:c r="A23" s="21" t="str">
        <x:v>S3 一般</x:v>
      </x:c>
      <x:c r="B23" s="21" t="str">
        <x:v>局部体验下降、文案/反馈/适配问题，不阻断主要任务</x:v>
      </x:c>
      <x:c r="C23" s="21" t="str"/>
      <x:c r="D23" s="21" t="str"/>
      <x:c r="E23" s="21" t="str"/>
      <x:c r="F23" s="21" t="str"/>
      <x:c r="G23" s="21" t="str"/>
      <x:c r="H23" s="21" t="str"/>
      <x:c r="J23" s="21" t="str">
        <x:v>P3</x:v>
      </x:c>
      <x:c r="K23" s="21" t="str">
        <x:v>3–6</x:v>
      </x:c>
      <x:c r="L23" s="21" t="str">
        <x:v>体验打磨或机会项；结合成本排期</x:v>
      </x:c>
      <x:c r="M23" s="21" t="str"/>
      <x:c r="N23" s="21" t="str"/>
      <x:c r="O23" s="21" t="str"/>
      <x:c r="P23" s="21" t="str"/>
      <x:c r="Q23" s="21" t="str"/>
    </x:row>
    <x:row r="24">
      <x:c r="A24" s="21" t="str">
        <x:v>S4 细微</x:v>
      </x:c>
      <x:c r="B24" s="21" t="str">
        <x:v>轻微视觉、对齐、措辞或低频边角问题</x:v>
      </x:c>
      <x:c r="C24" s="21" t="str"/>
      <x:c r="D24" s="21" t="str"/>
      <x:c r="E24" s="21" t="str"/>
      <x:c r="F24" s="21" t="str"/>
      <x:c r="G24" s="21" t="str"/>
      <x:c r="H24" s="21" t="str"/>
    </x:row>
  </x:sheetData>
  <x:mergeCells>
    <x:mergeCell ref="A1:Y2"/>
    <x:mergeCell ref="A3:Y3"/>
    <x:mergeCell ref="A5:Y6"/>
    <x:mergeCell ref="A19:H19"/>
    <x:mergeCell ref="B20:H20"/>
    <x:mergeCell ref="B21:H21"/>
    <x:mergeCell ref="B22:H22"/>
    <x:mergeCell ref="B23:H23"/>
    <x:mergeCell ref="B24:H24"/>
    <x:mergeCell ref="J19:Q19"/>
    <x:mergeCell ref="L20:Q20"/>
    <x:mergeCell ref="L21:Q21"/>
    <x:mergeCell ref="L22:Q22"/>
    <x:mergeCell ref="L23:Q23"/>
  </x:mergeCells>
  <x:pageMargins left="0.7" right="0.7" top="0.75" bottom="0.75" header="0.3" footer="0.3"/>
</x:worksheet>
</file>